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5"/>
    <sheet state="visible" name="budget allocation 1" sheetId="2" r:id="rId6"/>
    <sheet state="visible" name="budget allocation 2" sheetId="3" r:id="rId7"/>
    <sheet state="visible" name="generationland potential" sheetId="4" r:id="rId8"/>
    <sheet state="visible" name="ev registration by state 2023" sheetId="5" r:id="rId9"/>
  </sheets>
  <definedNames/>
  <calcPr/>
</workbook>
</file>

<file path=xl/sharedStrings.xml><?xml version="1.0" encoding="utf-8"?>
<sst xmlns="http://schemas.openxmlformats.org/spreadsheetml/2006/main" count="262" uniqueCount="128">
  <si>
    <t>State</t>
  </si>
  <si>
    <t>https://www.climatecentral.org/graphic/clean-energy-investment-in-every-state?graphicSet=Clean+Energy+Investment+in+Each+State&amp;location=WY&amp;lang=en</t>
  </si>
  <si>
    <t>Investment (B)</t>
  </si>
  <si>
    <t>Investment</t>
  </si>
  <si>
    <t>heat pumps</t>
  </si>
  <si>
    <t>zero-emissions vehicles</t>
  </si>
  <si>
    <t>solar</t>
  </si>
  <si>
    <t>wind</t>
  </si>
  <si>
    <t>nuclear</t>
  </si>
  <si>
    <t>hydrogen</t>
  </si>
  <si>
    <t>energy storage</t>
  </si>
  <si>
    <t>sustainable aviation fuel</t>
  </si>
  <si>
    <t>carbon management</t>
  </si>
  <si>
    <t>other</t>
  </si>
  <si>
    <t>Alabama</t>
  </si>
  <si>
    <t>11B</t>
  </si>
  <si>
    <t>heat pumps (B)</t>
  </si>
  <si>
    <t>zero-emissions vehicles (B)</t>
  </si>
  <si>
    <t>solar (B)</t>
  </si>
  <si>
    <t>wind (B)</t>
  </si>
  <si>
    <t>nuclear (B)</t>
  </si>
  <si>
    <t>Alaska</t>
  </si>
  <si>
    <t>hydrogen (B)</t>
  </si>
  <si>
    <t>340M</t>
  </si>
  <si>
    <t>energy storage (B)</t>
  </si>
  <si>
    <t>Arizona</t>
  </si>
  <si>
    <t>31B</t>
  </si>
  <si>
    <t>sustainable aviation fuel (B)</t>
  </si>
  <si>
    <t>carbon management (B)</t>
  </si>
  <si>
    <t>Arkansas</t>
  </si>
  <si>
    <t>5B</t>
  </si>
  <si>
    <t>other (B)</t>
  </si>
  <si>
    <t>California</t>
  </si>
  <si>
    <t>191B</t>
  </si>
  <si>
    <t>Colorado</t>
  </si>
  <si>
    <t>19B</t>
  </si>
  <si>
    <t>Connecticut</t>
  </si>
  <si>
    <t>6B</t>
  </si>
  <si>
    <t>Delaware</t>
  </si>
  <si>
    <t>2B</t>
  </si>
  <si>
    <t>Florida</t>
  </si>
  <si>
    <t>63B</t>
  </si>
  <si>
    <t>Georgia</t>
  </si>
  <si>
    <t>50B</t>
  </si>
  <si>
    <t>Hawaii</t>
  </si>
  <si>
    <t>Idaho</t>
  </si>
  <si>
    <t>Illinois</t>
  </si>
  <si>
    <t>25B</t>
  </si>
  <si>
    <t>source</t>
  </si>
  <si>
    <t>https://www.nrel.gov/docs/fy12osti/51946.pdf</t>
  </si>
  <si>
    <t>Indiana</t>
  </si>
  <si>
    <t>15B</t>
  </si>
  <si>
    <t>generation potential</t>
  </si>
  <si>
    <t>Iowa</t>
  </si>
  <si>
    <t>top states</t>
  </si>
  <si>
    <t>urban utility scale pv</t>
  </si>
  <si>
    <t>Kansas</t>
  </si>
  <si>
    <t>25,369 km^2, 2,231,694 GWh</t>
  </si>
  <si>
    <t>Kentucky</t>
  </si>
  <si>
    <t>10B</t>
  </si>
  <si>
    <t>Louisiana</t>
  </si>
  <si>
    <t>9B</t>
  </si>
  <si>
    <t>Maine</t>
  </si>
  <si>
    <t>3B</t>
  </si>
  <si>
    <t>Maryland</t>
  </si>
  <si>
    <t>texas: 3,214 km^2, 294,684 GWh; california: 2,321 km^2, 246,008 GWh</t>
  </si>
  <si>
    <t>https://afdc.energy.gov/data/10962</t>
  </si>
  <si>
    <t>rural utility scale pv</t>
  </si>
  <si>
    <t>Massachusetts</t>
  </si>
  <si>
    <t>3,186,955 km^2, 280,613,217 GWh</t>
  </si>
  <si>
    <t>texas: 425,230 km^2, 38,993,582 GWh; new mexico: 147,652 km^2, 16,318,543 GWh</t>
  </si>
  <si>
    <t>Michigan</t>
  </si>
  <si>
    <t>rooftop pv</t>
  </si>
  <si>
    <t>818,733 GWh</t>
  </si>
  <si>
    <t>california: 106,411 GWh; texas: 78,717 GWh</t>
  </si>
  <si>
    <t>Minnesota</t>
  </si>
  <si>
    <t>concentrating solar power</t>
  </si>
  <si>
    <t>7B</t>
  </si>
  <si>
    <t>1,157,209 km^2, 116,146,245 GWh</t>
  </si>
  <si>
    <t>texas: 235,398 km^2, 22,786,750 GWh; new mexico: 147,748 km^2, 16,812,349 GWh</t>
  </si>
  <si>
    <t>onshore wind</t>
  </si>
  <si>
    <t>Mississippi</t>
  </si>
  <si>
    <t>2,190,952 km^2, 32,784,004 GWh</t>
  </si>
  <si>
    <t>texas: 380,306 km^2, 5,552,400 GWh</t>
  </si>
  <si>
    <t>offshore wind</t>
  </si>
  <si>
    <t>844,703 km^2, 16,975,802 GWh</t>
  </si>
  <si>
    <t>Missouri</t>
  </si>
  <si>
    <t>hawaii:147,389 km^2, 2,836,735 GWh</t>
  </si>
  <si>
    <t>Montana</t>
  </si>
  <si>
    <t>4B</t>
  </si>
  <si>
    <t>Nebraska</t>
  </si>
  <si>
    <t>Nevada</t>
  </si>
  <si>
    <t>New Hampshire</t>
  </si>
  <si>
    <t>New Jersey</t>
  </si>
  <si>
    <t>17B</t>
  </si>
  <si>
    <t>New Mexico</t>
  </si>
  <si>
    <t>New York</t>
  </si>
  <si>
    <t>30B</t>
  </si>
  <si>
    <t>North Carolina</t>
  </si>
  <si>
    <t>32B</t>
  </si>
  <si>
    <t>North Dakota</t>
  </si>
  <si>
    <t>Ohio</t>
  </si>
  <si>
    <t>24B</t>
  </si>
  <si>
    <t>Oklahoma</t>
  </si>
  <si>
    <t>Oregon</t>
  </si>
  <si>
    <t>Pennsylvania</t>
  </si>
  <si>
    <t>13B</t>
  </si>
  <si>
    <t>Rhode Island</t>
  </si>
  <si>
    <t>South Carolina</t>
  </si>
  <si>
    <t>14B</t>
  </si>
  <si>
    <t>South Dakota</t>
  </si>
  <si>
    <t>Tennessee</t>
  </si>
  <si>
    <t>28B</t>
  </si>
  <si>
    <t>Texas</t>
  </si>
  <si>
    <t>144B</t>
  </si>
  <si>
    <t>Utah</t>
  </si>
  <si>
    <t>8B</t>
  </si>
  <si>
    <t>Vermont</t>
  </si>
  <si>
    <t>1B</t>
  </si>
  <si>
    <t>Virginia</t>
  </si>
  <si>
    <t>21B</t>
  </si>
  <si>
    <t>Washington</t>
  </si>
  <si>
    <t>West Virginia</t>
  </si>
  <si>
    <t>Wisconsin</t>
  </si>
  <si>
    <t>Wyoming</t>
  </si>
  <si>
    <t>Electric Vehicle Registrations by State (2023)</t>
  </si>
  <si>
    <t>Registration Count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</si>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</sst>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2.0"/>
      <color rgb="FF000000"/>
      <name val="Arial"/>
    </font>
    <font/>
    <font>
      <b/>
      <color rgb="FF000000"/>
      <name val="Arial"/>
    </font>
    <font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2" fillId="0" fontId="5" numFmtId="0" xfId="0" applyBorder="1" applyFont="1"/>
    <xf borderId="3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shrinkToFit="0" vertical="bottom" wrapText="0"/>
    </xf>
    <xf borderId="3" fillId="0" fontId="8" numFmtId="3" xfId="0" applyAlignment="1" applyBorder="1" applyFont="1" applyNumberFormat="1">
      <alignment horizontal="right" readingOrder="0" shrinkToFit="0" vertical="bottom" wrapText="0"/>
    </xf>
    <xf borderId="3" fillId="0" fontId="8" numFmtId="0" xfId="0" applyAlignment="1" applyBorder="1" applyFont="1">
      <alignment horizontal="right" readingOrder="0" shrinkToFit="0" vertical="bottom" wrapText="0"/>
    </xf>
    <xf borderId="3" fillId="0" fontId="6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imatecentral.org/graphic/clean-energy-investment-in-every-state?graphicSet=Clean+Energy+Investment+in+Each+State&amp;location=WY&amp;lang=en" TargetMode="External"/><Relationship Id="rId2" Type="http://schemas.openxmlformats.org/officeDocument/2006/relationships/hyperlink" Target="https://www.nrel.gov/docs/fy12osti/51946.pdf" TargetMode="External"/><Relationship Id="rId3" Type="http://schemas.openxmlformats.org/officeDocument/2006/relationships/hyperlink" Target="https://afdc.energy.gov/data/10962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</row>
    <row r="2">
      <c r="A2" s="5" t="s">
        <v>49</v>
      </c>
    </row>
    <row r="3">
      <c r="A3" s="8" t="s">
        <v>66</v>
      </c>
    </row>
  </sheetData>
  <hyperlinks>
    <hyperlink r:id="rId1" ref="A1"/>
    <hyperlink r:id="rId2" ref="A2"/>
    <hyperlink r:id="rId3" ref="A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14</v>
      </c>
      <c r="B2" s="1" t="s">
        <v>15</v>
      </c>
      <c r="C2" s="2">
        <v>0.53</v>
      </c>
      <c r="D2" s="2">
        <v>0.29</v>
      </c>
      <c r="E2" s="2">
        <v>0.14</v>
      </c>
      <c r="I2" s="2">
        <v>0.28</v>
      </c>
      <c r="J2" s="2"/>
      <c r="K2" s="2"/>
      <c r="L2" s="2">
        <v>0.04</v>
      </c>
    </row>
    <row r="3">
      <c r="A3" s="1" t="s">
        <v>21</v>
      </c>
      <c r="B3" s="1" t="s">
        <v>23</v>
      </c>
      <c r="D3" s="2">
        <v>0.48</v>
      </c>
      <c r="E3" s="2">
        <v>0.2</v>
      </c>
      <c r="I3" s="2"/>
      <c r="J3" s="2"/>
      <c r="K3" s="2"/>
      <c r="L3" s="2">
        <v>0.04</v>
      </c>
    </row>
    <row r="4">
      <c r="A4" s="1" t="s">
        <v>25</v>
      </c>
      <c r="B4" s="1" t="s">
        <v>26</v>
      </c>
      <c r="C4" s="2">
        <v>0.17</v>
      </c>
      <c r="D4" s="2">
        <v>0.33</v>
      </c>
      <c r="E4" s="2">
        <v>0.32</v>
      </c>
      <c r="L4" s="2">
        <v>0.18</v>
      </c>
    </row>
    <row r="5">
      <c r="A5" s="1" t="s">
        <v>29</v>
      </c>
      <c r="B5" s="1" t="s">
        <v>30</v>
      </c>
      <c r="C5" s="2">
        <v>0.33</v>
      </c>
      <c r="D5" s="2">
        <v>0.11</v>
      </c>
      <c r="E5" s="2">
        <v>0.53</v>
      </c>
      <c r="L5" s="2">
        <v>0.03</v>
      </c>
    </row>
    <row r="6">
      <c r="A6" s="1" t="s">
        <v>32</v>
      </c>
      <c r="B6" s="1" t="s">
        <v>33</v>
      </c>
      <c r="D6" s="2">
        <v>0.52</v>
      </c>
      <c r="E6" s="2">
        <v>0.28</v>
      </c>
      <c r="I6" s="2">
        <v>0.12</v>
      </c>
      <c r="J6" s="2"/>
      <c r="K6" s="2"/>
      <c r="L6" s="2">
        <v>0.08</v>
      </c>
    </row>
    <row r="7">
      <c r="A7" s="1" t="s">
        <v>34</v>
      </c>
      <c r="B7" s="1" t="s">
        <v>35</v>
      </c>
      <c r="D7" s="2">
        <v>0.43</v>
      </c>
      <c r="E7" s="2">
        <v>0.3</v>
      </c>
      <c r="F7" s="2">
        <v>0.21</v>
      </c>
      <c r="G7" s="2"/>
      <c r="H7" s="2"/>
      <c r="I7" s="2"/>
      <c r="J7" s="2"/>
      <c r="K7" s="2"/>
      <c r="L7" s="2">
        <v>0.06</v>
      </c>
    </row>
    <row r="8">
      <c r="A8" s="1" t="s">
        <v>36</v>
      </c>
      <c r="B8" s="1" t="s">
        <v>37</v>
      </c>
      <c r="D8" s="2">
        <v>0.53</v>
      </c>
      <c r="E8" s="2">
        <v>0.43</v>
      </c>
      <c r="L8" s="2">
        <v>0.04</v>
      </c>
    </row>
    <row r="9">
      <c r="A9" s="1" t="s">
        <v>38</v>
      </c>
      <c r="B9" s="1" t="s">
        <v>39</v>
      </c>
      <c r="C9" s="2">
        <v>0.36</v>
      </c>
      <c r="D9" s="2">
        <v>0.43</v>
      </c>
      <c r="E9" s="2">
        <v>0.16</v>
      </c>
      <c r="L9" s="2">
        <v>0.05</v>
      </c>
    </row>
    <row r="10">
      <c r="A10" s="1" t="s">
        <v>40</v>
      </c>
      <c r="B10" s="1" t="s">
        <v>41</v>
      </c>
      <c r="C10" s="2">
        <v>0.31</v>
      </c>
      <c r="D10" s="2">
        <v>0.32</v>
      </c>
      <c r="E10" s="2">
        <v>0.34</v>
      </c>
      <c r="L10" s="2">
        <v>0.03</v>
      </c>
    </row>
    <row r="11">
      <c r="A11" s="1" t="s">
        <v>42</v>
      </c>
      <c r="B11" s="1" t="s">
        <v>43</v>
      </c>
      <c r="D11" s="2">
        <v>0.36</v>
      </c>
      <c r="E11" s="2">
        <v>0.17</v>
      </c>
      <c r="G11" s="2">
        <v>0.29</v>
      </c>
      <c r="H11" s="2"/>
      <c r="L11" s="2">
        <v>0.18</v>
      </c>
    </row>
    <row r="12">
      <c r="A12" s="1" t="s">
        <v>44</v>
      </c>
      <c r="B12" s="1" t="s">
        <v>30</v>
      </c>
      <c r="C12" s="2"/>
      <c r="D12" s="2">
        <v>0.35</v>
      </c>
      <c r="E12" s="2">
        <v>0.43</v>
      </c>
      <c r="I12" s="2">
        <v>0.17</v>
      </c>
      <c r="J12" s="2"/>
      <c r="K12" s="2"/>
      <c r="L12" s="2">
        <v>0.05</v>
      </c>
    </row>
    <row r="13">
      <c r="A13" s="1" t="s">
        <v>45</v>
      </c>
      <c r="B13" s="1" t="s">
        <v>39</v>
      </c>
      <c r="D13" s="2">
        <v>0.26</v>
      </c>
      <c r="E13" s="2">
        <v>0.37</v>
      </c>
      <c r="I13" s="2">
        <v>0.23</v>
      </c>
      <c r="J13" s="2"/>
      <c r="K13" s="2"/>
      <c r="L13" s="2">
        <v>0.14</v>
      </c>
    </row>
    <row r="14">
      <c r="A14" s="1" t="s">
        <v>46</v>
      </c>
      <c r="B14" s="1" t="s">
        <v>47</v>
      </c>
      <c r="D14" s="2">
        <v>0.45</v>
      </c>
      <c r="E14" s="2">
        <v>0.23</v>
      </c>
      <c r="F14" s="2">
        <v>0.21</v>
      </c>
      <c r="L14" s="2">
        <v>0.11</v>
      </c>
    </row>
    <row r="15">
      <c r="A15" s="1" t="s">
        <v>50</v>
      </c>
      <c r="B15" s="1" t="s">
        <v>51</v>
      </c>
      <c r="D15" s="2">
        <v>0.37</v>
      </c>
      <c r="E15" s="2">
        <v>0.27</v>
      </c>
      <c r="F15" s="2">
        <v>0.18</v>
      </c>
      <c r="L15" s="2">
        <v>0.18</v>
      </c>
    </row>
    <row r="16">
      <c r="A16" s="1" t="s">
        <v>53</v>
      </c>
      <c r="B16" s="1" t="s">
        <v>51</v>
      </c>
      <c r="E16" s="2">
        <v>0.08</v>
      </c>
      <c r="F16" s="2">
        <v>0.61</v>
      </c>
      <c r="J16" s="2">
        <v>0.18</v>
      </c>
      <c r="K16" s="2"/>
      <c r="L16" s="2">
        <v>0.13</v>
      </c>
    </row>
    <row r="17">
      <c r="A17" s="1" t="s">
        <v>56</v>
      </c>
      <c r="B17" s="1" t="s">
        <v>15</v>
      </c>
      <c r="D17" s="2">
        <v>0.36</v>
      </c>
      <c r="F17" s="2">
        <v>0.56</v>
      </c>
      <c r="L17" s="2">
        <v>0.08</v>
      </c>
    </row>
    <row r="18">
      <c r="A18" s="1" t="s">
        <v>58</v>
      </c>
      <c r="B18" s="1" t="s">
        <v>59</v>
      </c>
      <c r="C18" s="2">
        <v>0.29</v>
      </c>
      <c r="D18" s="2">
        <v>0.64</v>
      </c>
      <c r="H18" s="2"/>
      <c r="L18" s="2">
        <v>0.08</v>
      </c>
    </row>
    <row r="19">
      <c r="A19" s="1" t="s">
        <v>60</v>
      </c>
      <c r="B19" s="1" t="s">
        <v>61</v>
      </c>
      <c r="C19" s="2">
        <v>0.3</v>
      </c>
      <c r="E19" s="2">
        <v>0.21</v>
      </c>
      <c r="H19" s="2">
        <v>0.22</v>
      </c>
      <c r="L19" s="2">
        <v>0.27</v>
      </c>
    </row>
    <row r="20">
      <c r="A20" s="1" t="s">
        <v>62</v>
      </c>
      <c r="B20" s="1" t="s">
        <v>63</v>
      </c>
      <c r="D20" s="2">
        <v>0.22</v>
      </c>
      <c r="E20" s="2">
        <v>0.65</v>
      </c>
      <c r="L20" s="2">
        <v>0.13</v>
      </c>
    </row>
    <row r="21">
      <c r="A21" s="1" t="s">
        <v>64</v>
      </c>
      <c r="B21" s="1" t="s">
        <v>15</v>
      </c>
      <c r="C21" s="2">
        <v>0.29</v>
      </c>
      <c r="D21" s="2">
        <v>0.52</v>
      </c>
      <c r="E21" s="2">
        <v>0.18</v>
      </c>
      <c r="L21" s="2">
        <v>0.01</v>
      </c>
    </row>
    <row r="22">
      <c r="A22" s="1" t="s">
        <v>68</v>
      </c>
      <c r="B22" s="1" t="s">
        <v>51</v>
      </c>
      <c r="D22" s="2">
        <v>0.46</v>
      </c>
      <c r="E22" s="2">
        <v>0.36</v>
      </c>
      <c r="L22" s="2">
        <v>0.18</v>
      </c>
    </row>
    <row r="23">
      <c r="A23" s="1" t="s">
        <v>71</v>
      </c>
      <c r="B23" s="1" t="s">
        <v>47</v>
      </c>
      <c r="D23" s="2">
        <v>0.71</v>
      </c>
      <c r="E23" s="2">
        <v>0.11</v>
      </c>
      <c r="F23" s="2">
        <v>0.12</v>
      </c>
      <c r="L23" s="2">
        <v>0.06</v>
      </c>
    </row>
    <row r="24">
      <c r="A24" s="1" t="s">
        <v>75</v>
      </c>
      <c r="B24" s="1" t="s">
        <v>77</v>
      </c>
      <c r="D24" s="2">
        <v>0.38</v>
      </c>
      <c r="E24" s="2">
        <v>0.26</v>
      </c>
      <c r="F24" s="2">
        <v>0.28</v>
      </c>
      <c r="L24" s="2">
        <v>0.08</v>
      </c>
    </row>
    <row r="25">
      <c r="A25" s="1" t="s">
        <v>81</v>
      </c>
      <c r="B25" s="1" t="s">
        <v>30</v>
      </c>
      <c r="C25" s="2">
        <v>0.45</v>
      </c>
      <c r="D25" s="2">
        <v>0.09</v>
      </c>
      <c r="E25" s="2">
        <v>0.33</v>
      </c>
      <c r="L25" s="2">
        <v>0.13</v>
      </c>
    </row>
    <row r="26">
      <c r="A26" s="1" t="s">
        <v>86</v>
      </c>
      <c r="B26" s="1" t="s">
        <v>61</v>
      </c>
      <c r="C26" s="2">
        <v>0.2</v>
      </c>
      <c r="D26" s="2">
        <v>0.33</v>
      </c>
      <c r="F26" s="2">
        <v>0.26</v>
      </c>
      <c r="L26" s="2">
        <v>0.21</v>
      </c>
    </row>
    <row r="27">
      <c r="A27" s="1" t="s">
        <v>88</v>
      </c>
      <c r="B27" s="1" t="s">
        <v>89</v>
      </c>
      <c r="D27" s="2">
        <v>0.14</v>
      </c>
      <c r="E27" s="2">
        <v>0.14</v>
      </c>
      <c r="F27" s="2">
        <v>0.56</v>
      </c>
      <c r="L27" s="2">
        <v>0.16</v>
      </c>
    </row>
    <row r="28">
      <c r="A28" s="1" t="s">
        <v>90</v>
      </c>
      <c r="B28" s="1" t="s">
        <v>37</v>
      </c>
      <c r="D28" s="2">
        <v>0.1</v>
      </c>
      <c r="F28" s="2">
        <v>0.53</v>
      </c>
      <c r="J28" s="2">
        <v>0.25</v>
      </c>
      <c r="K28" s="2"/>
      <c r="L28" s="2">
        <v>0.12</v>
      </c>
    </row>
    <row r="29">
      <c r="A29" s="1" t="s">
        <v>91</v>
      </c>
      <c r="B29" s="1" t="s">
        <v>47</v>
      </c>
      <c r="D29" s="2">
        <v>0.39</v>
      </c>
      <c r="E29" s="2">
        <v>0.34</v>
      </c>
      <c r="I29" s="2">
        <v>0.09</v>
      </c>
      <c r="L29" s="2">
        <v>0.18</v>
      </c>
    </row>
    <row r="30">
      <c r="A30" s="1" t="s">
        <v>92</v>
      </c>
      <c r="B30" s="1" t="s">
        <v>39</v>
      </c>
      <c r="D30" s="2">
        <v>0.61</v>
      </c>
      <c r="E30" s="2">
        <v>0.3</v>
      </c>
      <c r="L30" s="2">
        <v>0.09</v>
      </c>
    </row>
    <row r="31">
      <c r="A31" s="1" t="s">
        <v>93</v>
      </c>
      <c r="B31" s="1" t="s">
        <v>94</v>
      </c>
      <c r="D31" s="2">
        <v>0.69</v>
      </c>
      <c r="E31" s="2">
        <v>0.22</v>
      </c>
      <c r="L31" s="2">
        <v>0.09</v>
      </c>
    </row>
    <row r="32">
      <c r="A32" s="1" t="s">
        <v>95</v>
      </c>
      <c r="B32" s="1" t="s">
        <v>59</v>
      </c>
      <c r="E32" s="2">
        <v>0.37</v>
      </c>
      <c r="F32" s="2">
        <v>0.46</v>
      </c>
      <c r="L32" s="2">
        <v>0.17</v>
      </c>
    </row>
    <row r="33">
      <c r="A33" s="1" t="s">
        <v>96</v>
      </c>
      <c r="B33" s="1" t="s">
        <v>97</v>
      </c>
      <c r="D33" s="2">
        <v>0.49</v>
      </c>
      <c r="E33" s="2">
        <v>0.29</v>
      </c>
      <c r="F33" s="2">
        <v>0.11</v>
      </c>
      <c r="L33" s="2">
        <v>0.11</v>
      </c>
    </row>
    <row r="34">
      <c r="A34" s="1" t="s">
        <v>98</v>
      </c>
      <c r="B34" s="1" t="s">
        <v>99</v>
      </c>
      <c r="C34" s="2">
        <v>0.38</v>
      </c>
      <c r="D34" s="2">
        <v>0.39</v>
      </c>
      <c r="E34" s="2">
        <v>0.2</v>
      </c>
      <c r="L34" s="2">
        <v>0.03</v>
      </c>
    </row>
    <row r="35">
      <c r="A35" s="1" t="s">
        <v>100</v>
      </c>
      <c r="B35" s="1" t="s">
        <v>39</v>
      </c>
      <c r="D35" s="2">
        <v>0.05</v>
      </c>
      <c r="F35" s="2">
        <v>0.9</v>
      </c>
      <c r="L35" s="2">
        <v>0.05</v>
      </c>
    </row>
    <row r="36">
      <c r="A36" s="1" t="s">
        <v>101</v>
      </c>
      <c r="B36" s="1" t="s">
        <v>102</v>
      </c>
      <c r="D36" s="2">
        <v>0.55</v>
      </c>
      <c r="E36" s="2">
        <v>0.31</v>
      </c>
      <c r="L36" s="2">
        <v>0.14</v>
      </c>
    </row>
    <row r="37">
      <c r="A37" s="1" t="s">
        <v>103</v>
      </c>
      <c r="B37" s="1" t="s">
        <v>94</v>
      </c>
      <c r="D37" s="2">
        <v>0.25</v>
      </c>
      <c r="F37" s="2">
        <v>0.58</v>
      </c>
      <c r="L37" s="2">
        <v>0.17</v>
      </c>
    </row>
    <row r="38">
      <c r="A38" s="1" t="s">
        <v>104</v>
      </c>
      <c r="B38" s="1" t="s">
        <v>15</v>
      </c>
      <c r="C38" s="2">
        <v>0.16</v>
      </c>
      <c r="D38" s="2">
        <v>0.44</v>
      </c>
      <c r="E38" s="2">
        <v>0.28</v>
      </c>
      <c r="L38" s="2">
        <v>0.12</v>
      </c>
    </row>
    <row r="39">
      <c r="A39" s="1" t="s">
        <v>105</v>
      </c>
      <c r="B39" s="1" t="s">
        <v>106</v>
      </c>
      <c r="C39" s="2">
        <v>0.22</v>
      </c>
      <c r="D39" s="2">
        <v>0.51</v>
      </c>
      <c r="E39" s="2">
        <v>0.25</v>
      </c>
      <c r="L39" s="2">
        <v>0.02</v>
      </c>
    </row>
    <row r="40">
      <c r="A40" s="1" t="s">
        <v>107</v>
      </c>
      <c r="B40" s="1" t="s">
        <v>39</v>
      </c>
      <c r="D40" s="2">
        <v>0.26</v>
      </c>
      <c r="E40" s="2">
        <v>0.68</v>
      </c>
      <c r="L40" s="2">
        <v>0.06</v>
      </c>
    </row>
    <row r="41">
      <c r="A41" s="1" t="s">
        <v>108</v>
      </c>
      <c r="B41" s="1" t="s">
        <v>109</v>
      </c>
      <c r="C41" s="2">
        <v>0.44</v>
      </c>
      <c r="D41" s="2">
        <v>0.34</v>
      </c>
      <c r="E41" s="2">
        <v>0.21</v>
      </c>
      <c r="L41" s="2">
        <v>0.01</v>
      </c>
    </row>
    <row r="42">
      <c r="A42" s="1" t="s">
        <v>110</v>
      </c>
      <c r="B42" s="1" t="s">
        <v>30</v>
      </c>
      <c r="E42" s="2">
        <v>0.06</v>
      </c>
      <c r="F42" s="2">
        <v>0.77</v>
      </c>
      <c r="J42" s="2">
        <v>0.09</v>
      </c>
      <c r="K42" s="2"/>
      <c r="L42" s="2">
        <v>0.08</v>
      </c>
    </row>
    <row r="43">
      <c r="A43" s="1" t="s">
        <v>111</v>
      </c>
      <c r="B43" s="1" t="s">
        <v>112</v>
      </c>
      <c r="C43" s="2">
        <v>0.26</v>
      </c>
      <c r="D43" s="2">
        <v>0.67</v>
      </c>
      <c r="L43" s="2">
        <v>0.07</v>
      </c>
    </row>
    <row r="44">
      <c r="A44" s="1" t="s">
        <v>113</v>
      </c>
      <c r="B44" s="1" t="s">
        <v>114</v>
      </c>
      <c r="D44" s="2">
        <v>0.14</v>
      </c>
      <c r="E44" s="2">
        <v>0.32</v>
      </c>
      <c r="F44" s="2">
        <v>0.24</v>
      </c>
      <c r="L44" s="2">
        <v>0.3</v>
      </c>
    </row>
    <row r="45">
      <c r="A45" s="1" t="s">
        <v>115</v>
      </c>
      <c r="B45" s="1" t="s">
        <v>116</v>
      </c>
      <c r="D45" s="2">
        <v>0.36</v>
      </c>
      <c r="E45" s="2">
        <v>0.6</v>
      </c>
      <c r="L45" s="2">
        <v>0.05</v>
      </c>
    </row>
    <row r="46">
      <c r="A46" s="1" t="s">
        <v>117</v>
      </c>
      <c r="B46" s="1" t="s">
        <v>118</v>
      </c>
      <c r="D46" s="2">
        <v>0.52</v>
      </c>
      <c r="E46" s="2">
        <v>0.44</v>
      </c>
      <c r="L46" s="2">
        <v>0.05</v>
      </c>
    </row>
    <row r="47">
      <c r="A47" s="1" t="s">
        <v>119</v>
      </c>
      <c r="B47" s="1" t="s">
        <v>120</v>
      </c>
      <c r="C47" s="2">
        <v>0.34</v>
      </c>
      <c r="D47" s="2">
        <v>0.3</v>
      </c>
      <c r="E47" s="2">
        <v>0.35</v>
      </c>
      <c r="L47" s="2">
        <v>0.01</v>
      </c>
    </row>
    <row r="48">
      <c r="A48" s="1" t="s">
        <v>121</v>
      </c>
      <c r="B48" s="1" t="s">
        <v>51</v>
      </c>
      <c r="C48" s="2">
        <v>0.13</v>
      </c>
      <c r="D48" s="2">
        <v>0.69</v>
      </c>
      <c r="E48" s="2">
        <v>0.1</v>
      </c>
      <c r="L48" s="2">
        <v>0.08</v>
      </c>
    </row>
    <row r="49">
      <c r="A49" s="1" t="s">
        <v>122</v>
      </c>
      <c r="B49" s="1" t="s">
        <v>89</v>
      </c>
      <c r="C49" s="2">
        <v>0.28</v>
      </c>
      <c r="D49" s="2">
        <v>0.2</v>
      </c>
      <c r="K49" s="2">
        <v>0.29</v>
      </c>
      <c r="L49" s="2">
        <v>0.23</v>
      </c>
    </row>
    <row r="50">
      <c r="A50" s="1" t="s">
        <v>123</v>
      </c>
      <c r="B50" s="1" t="s">
        <v>37</v>
      </c>
      <c r="D50" s="2">
        <v>0.31</v>
      </c>
      <c r="E50" s="2">
        <v>0.62</v>
      </c>
      <c r="L50" s="2">
        <v>0.08</v>
      </c>
    </row>
    <row r="51">
      <c r="A51" s="1" t="s">
        <v>124</v>
      </c>
      <c r="B51" s="1" t="s">
        <v>37</v>
      </c>
      <c r="F51" s="2">
        <v>0.88</v>
      </c>
      <c r="L51" s="2">
        <v>0.12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12" width="12.63"/>
    <col customWidth="1" min="14" max="14" width="20.0"/>
    <col customWidth="1" min="19" max="19" width="17.63"/>
    <col customWidth="1" min="20" max="20" width="19.88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22</v>
      </c>
      <c r="S1" s="1" t="s">
        <v>24</v>
      </c>
      <c r="T1" s="1" t="s">
        <v>27</v>
      </c>
      <c r="U1" s="1" t="s">
        <v>28</v>
      </c>
      <c r="V1" s="1" t="s">
        <v>31</v>
      </c>
    </row>
    <row r="2">
      <c r="A2" s="1" t="s">
        <v>14</v>
      </c>
      <c r="B2" s="1">
        <v>11.0</v>
      </c>
      <c r="C2" s="3">
        <v>0.53</v>
      </c>
      <c r="D2" s="3">
        <v>0.29</v>
      </c>
      <c r="E2" s="3">
        <v>0.14</v>
      </c>
      <c r="F2" s="4"/>
      <c r="G2" s="4"/>
      <c r="H2" s="4"/>
      <c r="I2" s="3">
        <v>0.28</v>
      </c>
      <c r="J2" s="3"/>
      <c r="K2" s="3"/>
      <c r="L2" s="3">
        <v>0.04</v>
      </c>
      <c r="M2" s="7">
        <f t="shared" ref="M2:M51" si="1">B2*C2</f>
        <v>5.83</v>
      </c>
      <c r="N2" s="7">
        <f t="shared" ref="N2:N51" si="2">B2*D2</f>
        <v>3.19</v>
      </c>
      <c r="O2" s="7">
        <f t="shared" ref="O2:O51" si="3">B2*E2</f>
        <v>1.54</v>
      </c>
      <c r="P2" s="7">
        <f t="shared" ref="P2:P51" si="4">B2*F2</f>
        <v>0</v>
      </c>
      <c r="Q2" s="7">
        <f t="shared" ref="Q2:Q51" si="5">B2*G2</f>
        <v>0</v>
      </c>
      <c r="R2" s="7">
        <f t="shared" ref="R2:R51" si="6">B2*H2</f>
        <v>0</v>
      </c>
      <c r="S2" s="7">
        <f t="shared" ref="S2:S51" si="7">B2*I2</f>
        <v>3.08</v>
      </c>
      <c r="T2" s="7">
        <f t="shared" ref="T2:T51" si="8">B2*J2</f>
        <v>0</v>
      </c>
      <c r="U2" s="7">
        <f t="shared" ref="U2:U51" si="9">B2*K2</f>
        <v>0</v>
      </c>
      <c r="V2" s="7">
        <f t="shared" ref="V2:V51" si="10">B2*L2</f>
        <v>0.44</v>
      </c>
    </row>
    <row r="3">
      <c r="A3" s="1" t="s">
        <v>21</v>
      </c>
      <c r="B3" s="1">
        <v>0.34</v>
      </c>
      <c r="C3" s="4"/>
      <c r="D3" s="3">
        <v>0.48</v>
      </c>
      <c r="E3" s="3">
        <v>0.2</v>
      </c>
      <c r="F3" s="4"/>
      <c r="G3" s="4"/>
      <c r="H3" s="4"/>
      <c r="I3" s="3"/>
      <c r="J3" s="3"/>
      <c r="K3" s="3"/>
      <c r="L3" s="3">
        <v>0.04</v>
      </c>
      <c r="M3" s="7">
        <f t="shared" si="1"/>
        <v>0</v>
      </c>
      <c r="N3" s="7">
        <f t="shared" si="2"/>
        <v>0.1632</v>
      </c>
      <c r="O3" s="7">
        <f t="shared" si="3"/>
        <v>0.068</v>
      </c>
      <c r="P3" s="7">
        <f t="shared" si="4"/>
        <v>0</v>
      </c>
      <c r="Q3" s="7">
        <f t="shared" si="5"/>
        <v>0</v>
      </c>
      <c r="R3" s="7">
        <f t="shared" si="6"/>
        <v>0</v>
      </c>
      <c r="S3" s="7">
        <f t="shared" si="7"/>
        <v>0</v>
      </c>
      <c r="T3" s="7">
        <f t="shared" si="8"/>
        <v>0</v>
      </c>
      <c r="U3" s="7">
        <f t="shared" si="9"/>
        <v>0</v>
      </c>
      <c r="V3" s="7">
        <f t="shared" si="10"/>
        <v>0.0136</v>
      </c>
    </row>
    <row r="4">
      <c r="A4" s="1" t="s">
        <v>25</v>
      </c>
      <c r="B4" s="1">
        <v>31.0</v>
      </c>
      <c r="C4" s="3">
        <v>0.17</v>
      </c>
      <c r="D4" s="3">
        <v>0.33</v>
      </c>
      <c r="E4" s="3">
        <v>0.32</v>
      </c>
      <c r="F4" s="4"/>
      <c r="G4" s="4"/>
      <c r="H4" s="4"/>
      <c r="I4" s="4"/>
      <c r="J4" s="4"/>
      <c r="K4" s="4"/>
      <c r="L4" s="3">
        <v>0.18</v>
      </c>
      <c r="M4" s="7">
        <f t="shared" si="1"/>
        <v>5.27</v>
      </c>
      <c r="N4" s="7">
        <f t="shared" si="2"/>
        <v>10.23</v>
      </c>
      <c r="O4" s="7">
        <f t="shared" si="3"/>
        <v>9.92</v>
      </c>
      <c r="P4" s="7">
        <f t="shared" si="4"/>
        <v>0</v>
      </c>
      <c r="Q4" s="7">
        <f t="shared" si="5"/>
        <v>0</v>
      </c>
      <c r="R4" s="7">
        <f t="shared" si="6"/>
        <v>0</v>
      </c>
      <c r="S4" s="7">
        <f t="shared" si="7"/>
        <v>0</v>
      </c>
      <c r="T4" s="7">
        <f t="shared" si="8"/>
        <v>0</v>
      </c>
      <c r="U4" s="7">
        <f t="shared" si="9"/>
        <v>0</v>
      </c>
      <c r="V4" s="7">
        <f t="shared" si="10"/>
        <v>5.58</v>
      </c>
    </row>
    <row r="5">
      <c r="A5" s="1" t="s">
        <v>29</v>
      </c>
      <c r="B5" s="1">
        <v>5.0</v>
      </c>
      <c r="C5" s="3">
        <v>0.33</v>
      </c>
      <c r="D5" s="3">
        <v>0.11</v>
      </c>
      <c r="E5" s="3">
        <v>0.53</v>
      </c>
      <c r="F5" s="4"/>
      <c r="G5" s="4"/>
      <c r="H5" s="4"/>
      <c r="I5" s="4"/>
      <c r="J5" s="4"/>
      <c r="K5" s="4"/>
      <c r="L5" s="3">
        <v>0.03</v>
      </c>
      <c r="M5" s="7">
        <f t="shared" si="1"/>
        <v>1.65</v>
      </c>
      <c r="N5" s="7">
        <f t="shared" si="2"/>
        <v>0.55</v>
      </c>
      <c r="O5" s="7">
        <f t="shared" si="3"/>
        <v>2.65</v>
      </c>
      <c r="P5" s="7">
        <f t="shared" si="4"/>
        <v>0</v>
      </c>
      <c r="Q5" s="7">
        <f t="shared" si="5"/>
        <v>0</v>
      </c>
      <c r="R5" s="7">
        <f t="shared" si="6"/>
        <v>0</v>
      </c>
      <c r="S5" s="7">
        <f t="shared" si="7"/>
        <v>0</v>
      </c>
      <c r="T5" s="7">
        <f t="shared" si="8"/>
        <v>0</v>
      </c>
      <c r="U5" s="7">
        <f t="shared" si="9"/>
        <v>0</v>
      </c>
      <c r="V5" s="7">
        <f t="shared" si="10"/>
        <v>0.15</v>
      </c>
    </row>
    <row r="6">
      <c r="A6" s="1" t="s">
        <v>32</v>
      </c>
      <c r="B6" s="1">
        <v>191.0</v>
      </c>
      <c r="C6" s="4"/>
      <c r="D6" s="3">
        <v>0.52</v>
      </c>
      <c r="E6" s="3">
        <v>0.28</v>
      </c>
      <c r="F6" s="4"/>
      <c r="G6" s="4"/>
      <c r="H6" s="4"/>
      <c r="I6" s="3">
        <v>0.12</v>
      </c>
      <c r="J6" s="3"/>
      <c r="K6" s="3"/>
      <c r="L6" s="3">
        <v>0.08</v>
      </c>
      <c r="M6" s="7">
        <f t="shared" si="1"/>
        <v>0</v>
      </c>
      <c r="N6" s="7">
        <f t="shared" si="2"/>
        <v>99.32</v>
      </c>
      <c r="O6" s="7">
        <f t="shared" si="3"/>
        <v>53.48</v>
      </c>
      <c r="P6" s="7">
        <f t="shared" si="4"/>
        <v>0</v>
      </c>
      <c r="Q6" s="7">
        <f t="shared" si="5"/>
        <v>0</v>
      </c>
      <c r="R6" s="7">
        <f t="shared" si="6"/>
        <v>0</v>
      </c>
      <c r="S6" s="7">
        <f t="shared" si="7"/>
        <v>22.92</v>
      </c>
      <c r="T6" s="7">
        <f t="shared" si="8"/>
        <v>0</v>
      </c>
      <c r="U6" s="7">
        <f t="shared" si="9"/>
        <v>0</v>
      </c>
      <c r="V6" s="7">
        <f t="shared" si="10"/>
        <v>15.28</v>
      </c>
    </row>
    <row r="7">
      <c r="A7" s="1" t="s">
        <v>34</v>
      </c>
      <c r="B7" s="1">
        <v>19.0</v>
      </c>
      <c r="C7" s="4"/>
      <c r="D7" s="3">
        <v>0.43</v>
      </c>
      <c r="E7" s="3">
        <v>0.3</v>
      </c>
      <c r="F7" s="3">
        <v>0.21</v>
      </c>
      <c r="G7" s="3"/>
      <c r="H7" s="3"/>
      <c r="I7" s="3"/>
      <c r="J7" s="3"/>
      <c r="K7" s="3"/>
      <c r="L7" s="3">
        <v>0.06</v>
      </c>
      <c r="M7" s="7">
        <f t="shared" si="1"/>
        <v>0</v>
      </c>
      <c r="N7" s="7">
        <f t="shared" si="2"/>
        <v>8.17</v>
      </c>
      <c r="O7" s="7">
        <f t="shared" si="3"/>
        <v>5.7</v>
      </c>
      <c r="P7" s="7">
        <f t="shared" si="4"/>
        <v>3.99</v>
      </c>
      <c r="Q7" s="7">
        <f t="shared" si="5"/>
        <v>0</v>
      </c>
      <c r="R7" s="7">
        <f t="shared" si="6"/>
        <v>0</v>
      </c>
      <c r="S7" s="7">
        <f t="shared" si="7"/>
        <v>0</v>
      </c>
      <c r="T7" s="7">
        <f t="shared" si="8"/>
        <v>0</v>
      </c>
      <c r="U7" s="7">
        <f t="shared" si="9"/>
        <v>0</v>
      </c>
      <c r="V7" s="7">
        <f t="shared" si="10"/>
        <v>1.14</v>
      </c>
    </row>
    <row r="8">
      <c r="A8" s="1" t="s">
        <v>36</v>
      </c>
      <c r="B8" s="1">
        <v>6.0</v>
      </c>
      <c r="C8" s="4"/>
      <c r="D8" s="3">
        <v>0.53</v>
      </c>
      <c r="E8" s="3">
        <v>0.43</v>
      </c>
      <c r="F8" s="4"/>
      <c r="G8" s="4"/>
      <c r="H8" s="4"/>
      <c r="I8" s="4"/>
      <c r="J8" s="4"/>
      <c r="K8" s="4"/>
      <c r="L8" s="3">
        <v>0.04</v>
      </c>
      <c r="M8" s="7">
        <f t="shared" si="1"/>
        <v>0</v>
      </c>
      <c r="N8" s="7">
        <f t="shared" si="2"/>
        <v>3.18</v>
      </c>
      <c r="O8" s="7">
        <f t="shared" si="3"/>
        <v>2.58</v>
      </c>
      <c r="P8" s="7">
        <f t="shared" si="4"/>
        <v>0</v>
      </c>
      <c r="Q8" s="7">
        <f t="shared" si="5"/>
        <v>0</v>
      </c>
      <c r="R8" s="7">
        <f t="shared" si="6"/>
        <v>0</v>
      </c>
      <c r="S8" s="7">
        <f t="shared" si="7"/>
        <v>0</v>
      </c>
      <c r="T8" s="7">
        <f t="shared" si="8"/>
        <v>0</v>
      </c>
      <c r="U8" s="7">
        <f t="shared" si="9"/>
        <v>0</v>
      </c>
      <c r="V8" s="7">
        <f t="shared" si="10"/>
        <v>0.24</v>
      </c>
    </row>
    <row r="9">
      <c r="A9" s="1" t="s">
        <v>38</v>
      </c>
      <c r="B9" s="1">
        <v>2.0</v>
      </c>
      <c r="C9" s="3">
        <v>0.36</v>
      </c>
      <c r="D9" s="3">
        <v>0.43</v>
      </c>
      <c r="E9" s="3">
        <v>0.16</v>
      </c>
      <c r="F9" s="4"/>
      <c r="G9" s="4"/>
      <c r="H9" s="4"/>
      <c r="I9" s="4"/>
      <c r="J9" s="4"/>
      <c r="K9" s="4"/>
      <c r="L9" s="3">
        <v>0.05</v>
      </c>
      <c r="M9" s="7">
        <f t="shared" si="1"/>
        <v>0.72</v>
      </c>
      <c r="N9" s="7">
        <f t="shared" si="2"/>
        <v>0.86</v>
      </c>
      <c r="O9" s="7">
        <f t="shared" si="3"/>
        <v>0.32</v>
      </c>
      <c r="P9" s="7">
        <f t="shared" si="4"/>
        <v>0</v>
      </c>
      <c r="Q9" s="7">
        <f t="shared" si="5"/>
        <v>0</v>
      </c>
      <c r="R9" s="7">
        <f t="shared" si="6"/>
        <v>0</v>
      </c>
      <c r="S9" s="7">
        <f t="shared" si="7"/>
        <v>0</v>
      </c>
      <c r="T9" s="7">
        <f t="shared" si="8"/>
        <v>0</v>
      </c>
      <c r="U9" s="7">
        <f t="shared" si="9"/>
        <v>0</v>
      </c>
      <c r="V9" s="7">
        <f t="shared" si="10"/>
        <v>0.1</v>
      </c>
    </row>
    <row r="10">
      <c r="A10" s="1" t="s">
        <v>40</v>
      </c>
      <c r="B10" s="1">
        <v>63.0</v>
      </c>
      <c r="C10" s="3">
        <v>0.31</v>
      </c>
      <c r="D10" s="3">
        <v>0.32</v>
      </c>
      <c r="E10" s="3">
        <v>0.34</v>
      </c>
      <c r="F10" s="4"/>
      <c r="G10" s="4"/>
      <c r="H10" s="4"/>
      <c r="I10" s="4"/>
      <c r="J10" s="4"/>
      <c r="K10" s="4"/>
      <c r="L10" s="3">
        <v>0.03</v>
      </c>
      <c r="M10" s="7">
        <f t="shared" si="1"/>
        <v>19.53</v>
      </c>
      <c r="N10" s="7">
        <f t="shared" si="2"/>
        <v>20.16</v>
      </c>
      <c r="O10" s="7">
        <f t="shared" si="3"/>
        <v>21.42</v>
      </c>
      <c r="P10" s="7">
        <f t="shared" si="4"/>
        <v>0</v>
      </c>
      <c r="Q10" s="7">
        <f t="shared" si="5"/>
        <v>0</v>
      </c>
      <c r="R10" s="7">
        <f t="shared" si="6"/>
        <v>0</v>
      </c>
      <c r="S10" s="7">
        <f t="shared" si="7"/>
        <v>0</v>
      </c>
      <c r="T10" s="7">
        <f t="shared" si="8"/>
        <v>0</v>
      </c>
      <c r="U10" s="7">
        <f t="shared" si="9"/>
        <v>0</v>
      </c>
      <c r="V10" s="7">
        <f t="shared" si="10"/>
        <v>1.89</v>
      </c>
    </row>
    <row r="11">
      <c r="A11" s="1" t="s">
        <v>42</v>
      </c>
      <c r="B11" s="1">
        <v>50.0</v>
      </c>
      <c r="C11" s="4"/>
      <c r="D11" s="3">
        <v>0.36</v>
      </c>
      <c r="E11" s="3">
        <v>0.17</v>
      </c>
      <c r="F11" s="4"/>
      <c r="G11" s="3">
        <v>0.29</v>
      </c>
      <c r="H11" s="3"/>
      <c r="I11" s="4"/>
      <c r="J11" s="4"/>
      <c r="K11" s="4"/>
      <c r="L11" s="3">
        <v>0.18</v>
      </c>
      <c r="M11" s="7">
        <f t="shared" si="1"/>
        <v>0</v>
      </c>
      <c r="N11" s="7">
        <f t="shared" si="2"/>
        <v>18</v>
      </c>
      <c r="O11" s="7">
        <f t="shared" si="3"/>
        <v>8.5</v>
      </c>
      <c r="P11" s="7">
        <f t="shared" si="4"/>
        <v>0</v>
      </c>
      <c r="Q11" s="7">
        <f t="shared" si="5"/>
        <v>14.5</v>
      </c>
      <c r="R11" s="7">
        <f t="shared" si="6"/>
        <v>0</v>
      </c>
      <c r="S11" s="7">
        <f t="shared" si="7"/>
        <v>0</v>
      </c>
      <c r="T11" s="7">
        <f t="shared" si="8"/>
        <v>0</v>
      </c>
      <c r="U11" s="7">
        <f t="shared" si="9"/>
        <v>0</v>
      </c>
      <c r="V11" s="7">
        <f t="shared" si="10"/>
        <v>9</v>
      </c>
    </row>
    <row r="12">
      <c r="A12" s="1" t="s">
        <v>44</v>
      </c>
      <c r="B12" s="1">
        <v>5.0</v>
      </c>
      <c r="C12" s="3"/>
      <c r="D12" s="3">
        <v>0.35</v>
      </c>
      <c r="E12" s="3">
        <v>0.43</v>
      </c>
      <c r="F12" s="4"/>
      <c r="G12" s="4"/>
      <c r="H12" s="4"/>
      <c r="I12" s="3">
        <v>0.17</v>
      </c>
      <c r="J12" s="3"/>
      <c r="K12" s="3"/>
      <c r="L12" s="3">
        <v>0.05</v>
      </c>
      <c r="M12" s="7">
        <f t="shared" si="1"/>
        <v>0</v>
      </c>
      <c r="N12" s="7">
        <f t="shared" si="2"/>
        <v>1.75</v>
      </c>
      <c r="O12" s="7">
        <f t="shared" si="3"/>
        <v>2.15</v>
      </c>
      <c r="P12" s="7">
        <f t="shared" si="4"/>
        <v>0</v>
      </c>
      <c r="Q12" s="7">
        <f t="shared" si="5"/>
        <v>0</v>
      </c>
      <c r="R12" s="7">
        <f t="shared" si="6"/>
        <v>0</v>
      </c>
      <c r="S12" s="7">
        <f t="shared" si="7"/>
        <v>0.85</v>
      </c>
      <c r="T12" s="7">
        <f t="shared" si="8"/>
        <v>0</v>
      </c>
      <c r="U12" s="7">
        <f t="shared" si="9"/>
        <v>0</v>
      </c>
      <c r="V12" s="7">
        <f t="shared" si="10"/>
        <v>0.25</v>
      </c>
    </row>
    <row r="13">
      <c r="A13" s="1" t="s">
        <v>45</v>
      </c>
      <c r="B13" s="1">
        <v>2.0</v>
      </c>
      <c r="C13" s="4"/>
      <c r="D13" s="3">
        <v>0.26</v>
      </c>
      <c r="E13" s="3">
        <v>0.37</v>
      </c>
      <c r="F13" s="4"/>
      <c r="G13" s="4"/>
      <c r="H13" s="4"/>
      <c r="I13" s="3">
        <v>0.23</v>
      </c>
      <c r="J13" s="3"/>
      <c r="K13" s="3"/>
      <c r="L13" s="3">
        <v>0.14</v>
      </c>
      <c r="M13" s="7">
        <f t="shared" si="1"/>
        <v>0</v>
      </c>
      <c r="N13" s="7">
        <f t="shared" si="2"/>
        <v>0.52</v>
      </c>
      <c r="O13" s="7">
        <f t="shared" si="3"/>
        <v>0.74</v>
      </c>
      <c r="P13" s="7">
        <f t="shared" si="4"/>
        <v>0</v>
      </c>
      <c r="Q13" s="7">
        <f t="shared" si="5"/>
        <v>0</v>
      </c>
      <c r="R13" s="7">
        <f t="shared" si="6"/>
        <v>0</v>
      </c>
      <c r="S13" s="7">
        <f t="shared" si="7"/>
        <v>0.46</v>
      </c>
      <c r="T13" s="7">
        <f t="shared" si="8"/>
        <v>0</v>
      </c>
      <c r="U13" s="7">
        <f t="shared" si="9"/>
        <v>0</v>
      </c>
      <c r="V13" s="7">
        <f t="shared" si="10"/>
        <v>0.28</v>
      </c>
    </row>
    <row r="14">
      <c r="A14" s="1" t="s">
        <v>46</v>
      </c>
      <c r="B14" s="1">
        <v>25.0</v>
      </c>
      <c r="C14" s="4"/>
      <c r="D14" s="3">
        <v>0.45</v>
      </c>
      <c r="E14" s="3">
        <v>0.23</v>
      </c>
      <c r="F14" s="3">
        <v>0.21</v>
      </c>
      <c r="G14" s="4"/>
      <c r="H14" s="4"/>
      <c r="I14" s="4"/>
      <c r="J14" s="4"/>
      <c r="K14" s="4"/>
      <c r="L14" s="3">
        <v>0.11</v>
      </c>
      <c r="M14" s="7">
        <f t="shared" si="1"/>
        <v>0</v>
      </c>
      <c r="N14" s="7">
        <f t="shared" si="2"/>
        <v>11.25</v>
      </c>
      <c r="O14" s="7">
        <f t="shared" si="3"/>
        <v>5.75</v>
      </c>
      <c r="P14" s="7">
        <f t="shared" si="4"/>
        <v>5.25</v>
      </c>
      <c r="Q14" s="7">
        <f t="shared" si="5"/>
        <v>0</v>
      </c>
      <c r="R14" s="7">
        <f t="shared" si="6"/>
        <v>0</v>
      </c>
      <c r="S14" s="7">
        <f t="shared" si="7"/>
        <v>0</v>
      </c>
      <c r="T14" s="7">
        <f t="shared" si="8"/>
        <v>0</v>
      </c>
      <c r="U14" s="7">
        <f t="shared" si="9"/>
        <v>0</v>
      </c>
      <c r="V14" s="7">
        <f t="shared" si="10"/>
        <v>2.75</v>
      </c>
    </row>
    <row r="15">
      <c r="A15" s="1" t="s">
        <v>50</v>
      </c>
      <c r="B15" s="1">
        <v>15.0</v>
      </c>
      <c r="C15" s="4"/>
      <c r="D15" s="3">
        <v>0.37</v>
      </c>
      <c r="E15" s="3">
        <v>0.27</v>
      </c>
      <c r="F15" s="3">
        <v>0.18</v>
      </c>
      <c r="G15" s="4"/>
      <c r="H15" s="4"/>
      <c r="I15" s="4"/>
      <c r="J15" s="4"/>
      <c r="K15" s="4"/>
      <c r="L15" s="3">
        <v>0.18</v>
      </c>
      <c r="M15" s="7">
        <f t="shared" si="1"/>
        <v>0</v>
      </c>
      <c r="N15" s="7">
        <f t="shared" si="2"/>
        <v>5.55</v>
      </c>
      <c r="O15" s="7">
        <f t="shared" si="3"/>
        <v>4.05</v>
      </c>
      <c r="P15" s="7">
        <f t="shared" si="4"/>
        <v>2.7</v>
      </c>
      <c r="Q15" s="7">
        <f t="shared" si="5"/>
        <v>0</v>
      </c>
      <c r="R15" s="7">
        <f t="shared" si="6"/>
        <v>0</v>
      </c>
      <c r="S15" s="7">
        <f t="shared" si="7"/>
        <v>0</v>
      </c>
      <c r="T15" s="7">
        <f t="shared" si="8"/>
        <v>0</v>
      </c>
      <c r="U15" s="7">
        <f t="shared" si="9"/>
        <v>0</v>
      </c>
      <c r="V15" s="7">
        <f t="shared" si="10"/>
        <v>2.7</v>
      </c>
    </row>
    <row r="16">
      <c r="A16" s="1" t="s">
        <v>53</v>
      </c>
      <c r="B16" s="1">
        <v>15.0</v>
      </c>
      <c r="C16" s="4"/>
      <c r="D16" s="4"/>
      <c r="E16" s="3">
        <v>0.08</v>
      </c>
      <c r="F16" s="3">
        <v>0.61</v>
      </c>
      <c r="G16" s="4"/>
      <c r="H16" s="4"/>
      <c r="I16" s="4"/>
      <c r="J16" s="3">
        <v>0.18</v>
      </c>
      <c r="K16" s="3"/>
      <c r="L16" s="3">
        <v>0.13</v>
      </c>
      <c r="M16" s="7">
        <f t="shared" si="1"/>
        <v>0</v>
      </c>
      <c r="N16" s="7">
        <f t="shared" si="2"/>
        <v>0</v>
      </c>
      <c r="O16" s="7">
        <f t="shared" si="3"/>
        <v>1.2</v>
      </c>
      <c r="P16" s="7">
        <f t="shared" si="4"/>
        <v>9.15</v>
      </c>
      <c r="Q16" s="7">
        <f t="shared" si="5"/>
        <v>0</v>
      </c>
      <c r="R16" s="7">
        <f t="shared" si="6"/>
        <v>0</v>
      </c>
      <c r="S16" s="7">
        <f t="shared" si="7"/>
        <v>0</v>
      </c>
      <c r="T16" s="7">
        <f t="shared" si="8"/>
        <v>2.7</v>
      </c>
      <c r="U16" s="7">
        <f t="shared" si="9"/>
        <v>0</v>
      </c>
      <c r="V16" s="7">
        <f t="shared" si="10"/>
        <v>1.95</v>
      </c>
    </row>
    <row r="17">
      <c r="A17" s="1" t="s">
        <v>56</v>
      </c>
      <c r="B17" s="1">
        <v>11.0</v>
      </c>
      <c r="C17" s="4"/>
      <c r="D17" s="3">
        <v>0.36</v>
      </c>
      <c r="E17" s="4"/>
      <c r="F17" s="3">
        <v>0.56</v>
      </c>
      <c r="G17" s="4"/>
      <c r="H17" s="4"/>
      <c r="I17" s="4"/>
      <c r="J17" s="4"/>
      <c r="K17" s="4"/>
      <c r="L17" s="3">
        <v>0.08</v>
      </c>
      <c r="M17" s="7">
        <f t="shared" si="1"/>
        <v>0</v>
      </c>
      <c r="N17" s="7">
        <f t="shared" si="2"/>
        <v>3.96</v>
      </c>
      <c r="O17" s="7">
        <f t="shared" si="3"/>
        <v>0</v>
      </c>
      <c r="P17" s="7">
        <f t="shared" si="4"/>
        <v>6.16</v>
      </c>
      <c r="Q17" s="7">
        <f t="shared" si="5"/>
        <v>0</v>
      </c>
      <c r="R17" s="7">
        <f t="shared" si="6"/>
        <v>0</v>
      </c>
      <c r="S17" s="7">
        <f t="shared" si="7"/>
        <v>0</v>
      </c>
      <c r="T17" s="7">
        <f t="shared" si="8"/>
        <v>0</v>
      </c>
      <c r="U17" s="7">
        <f t="shared" si="9"/>
        <v>0</v>
      </c>
      <c r="V17" s="7">
        <f t="shared" si="10"/>
        <v>0.88</v>
      </c>
    </row>
    <row r="18">
      <c r="A18" s="1" t="s">
        <v>58</v>
      </c>
      <c r="B18" s="1">
        <v>10.0</v>
      </c>
      <c r="C18" s="3">
        <v>0.29</v>
      </c>
      <c r="D18" s="3">
        <v>0.64</v>
      </c>
      <c r="E18" s="4"/>
      <c r="F18" s="4"/>
      <c r="G18" s="4"/>
      <c r="H18" s="3"/>
      <c r="I18" s="4"/>
      <c r="J18" s="4"/>
      <c r="K18" s="4"/>
      <c r="L18" s="3">
        <v>0.08</v>
      </c>
      <c r="M18" s="7">
        <f t="shared" si="1"/>
        <v>2.9</v>
      </c>
      <c r="N18" s="7">
        <f t="shared" si="2"/>
        <v>6.4</v>
      </c>
      <c r="O18" s="7">
        <f t="shared" si="3"/>
        <v>0</v>
      </c>
      <c r="P18" s="7">
        <f t="shared" si="4"/>
        <v>0</v>
      </c>
      <c r="Q18" s="7">
        <f t="shared" si="5"/>
        <v>0</v>
      </c>
      <c r="R18" s="7">
        <f t="shared" si="6"/>
        <v>0</v>
      </c>
      <c r="S18" s="7">
        <f t="shared" si="7"/>
        <v>0</v>
      </c>
      <c r="T18" s="7">
        <f t="shared" si="8"/>
        <v>0</v>
      </c>
      <c r="U18" s="7">
        <f t="shared" si="9"/>
        <v>0</v>
      </c>
      <c r="V18" s="7">
        <f t="shared" si="10"/>
        <v>0.8</v>
      </c>
    </row>
    <row r="19">
      <c r="A19" s="1" t="s">
        <v>60</v>
      </c>
      <c r="B19" s="1">
        <v>9.0</v>
      </c>
      <c r="C19" s="3">
        <v>0.3</v>
      </c>
      <c r="D19" s="4"/>
      <c r="E19" s="3">
        <v>0.21</v>
      </c>
      <c r="F19" s="4"/>
      <c r="G19" s="4"/>
      <c r="H19" s="3">
        <v>0.22</v>
      </c>
      <c r="I19" s="4"/>
      <c r="J19" s="4"/>
      <c r="K19" s="4"/>
      <c r="L19" s="3">
        <v>0.27</v>
      </c>
      <c r="M19" s="7">
        <f t="shared" si="1"/>
        <v>2.7</v>
      </c>
      <c r="N19" s="7">
        <f t="shared" si="2"/>
        <v>0</v>
      </c>
      <c r="O19" s="7">
        <f t="shared" si="3"/>
        <v>1.89</v>
      </c>
      <c r="P19" s="7">
        <f t="shared" si="4"/>
        <v>0</v>
      </c>
      <c r="Q19" s="7">
        <f t="shared" si="5"/>
        <v>0</v>
      </c>
      <c r="R19" s="7">
        <f t="shared" si="6"/>
        <v>1.98</v>
      </c>
      <c r="S19" s="7">
        <f t="shared" si="7"/>
        <v>0</v>
      </c>
      <c r="T19" s="7">
        <f t="shared" si="8"/>
        <v>0</v>
      </c>
      <c r="U19" s="7">
        <f t="shared" si="9"/>
        <v>0</v>
      </c>
      <c r="V19" s="7">
        <f t="shared" si="10"/>
        <v>2.43</v>
      </c>
    </row>
    <row r="20">
      <c r="A20" s="1" t="s">
        <v>62</v>
      </c>
      <c r="B20" s="1">
        <v>3.0</v>
      </c>
      <c r="C20" s="4"/>
      <c r="D20" s="3">
        <v>0.22</v>
      </c>
      <c r="E20" s="3">
        <v>0.65</v>
      </c>
      <c r="F20" s="4"/>
      <c r="G20" s="4"/>
      <c r="H20" s="4"/>
      <c r="I20" s="4"/>
      <c r="J20" s="4"/>
      <c r="K20" s="4"/>
      <c r="L20" s="3">
        <v>0.13</v>
      </c>
      <c r="M20" s="7">
        <f t="shared" si="1"/>
        <v>0</v>
      </c>
      <c r="N20" s="7">
        <f t="shared" si="2"/>
        <v>0.66</v>
      </c>
      <c r="O20" s="7">
        <f t="shared" si="3"/>
        <v>1.95</v>
      </c>
      <c r="P20" s="7">
        <f t="shared" si="4"/>
        <v>0</v>
      </c>
      <c r="Q20" s="7">
        <f t="shared" si="5"/>
        <v>0</v>
      </c>
      <c r="R20" s="7">
        <f t="shared" si="6"/>
        <v>0</v>
      </c>
      <c r="S20" s="7">
        <f t="shared" si="7"/>
        <v>0</v>
      </c>
      <c r="T20" s="7">
        <f t="shared" si="8"/>
        <v>0</v>
      </c>
      <c r="U20" s="7">
        <f t="shared" si="9"/>
        <v>0</v>
      </c>
      <c r="V20" s="7">
        <f t="shared" si="10"/>
        <v>0.39</v>
      </c>
    </row>
    <row r="21">
      <c r="A21" s="1" t="s">
        <v>64</v>
      </c>
      <c r="B21" s="1">
        <v>11.0</v>
      </c>
      <c r="C21" s="3">
        <v>0.29</v>
      </c>
      <c r="D21" s="3">
        <v>0.52</v>
      </c>
      <c r="E21" s="3">
        <v>0.18</v>
      </c>
      <c r="F21" s="4"/>
      <c r="G21" s="4"/>
      <c r="H21" s="4"/>
      <c r="I21" s="4"/>
      <c r="J21" s="4"/>
      <c r="K21" s="4"/>
      <c r="L21" s="3">
        <v>0.01</v>
      </c>
      <c r="M21" s="7">
        <f t="shared" si="1"/>
        <v>3.19</v>
      </c>
      <c r="N21" s="7">
        <f t="shared" si="2"/>
        <v>5.72</v>
      </c>
      <c r="O21" s="7">
        <f t="shared" si="3"/>
        <v>1.98</v>
      </c>
      <c r="P21" s="7">
        <f t="shared" si="4"/>
        <v>0</v>
      </c>
      <c r="Q21" s="7">
        <f t="shared" si="5"/>
        <v>0</v>
      </c>
      <c r="R21" s="7">
        <f t="shared" si="6"/>
        <v>0</v>
      </c>
      <c r="S21" s="7">
        <f t="shared" si="7"/>
        <v>0</v>
      </c>
      <c r="T21" s="7">
        <f t="shared" si="8"/>
        <v>0</v>
      </c>
      <c r="U21" s="7">
        <f t="shared" si="9"/>
        <v>0</v>
      </c>
      <c r="V21" s="7">
        <f t="shared" si="10"/>
        <v>0.11</v>
      </c>
    </row>
    <row r="22">
      <c r="A22" s="1" t="s">
        <v>68</v>
      </c>
      <c r="B22" s="1">
        <v>15.0</v>
      </c>
      <c r="C22" s="4"/>
      <c r="D22" s="3">
        <v>0.46</v>
      </c>
      <c r="E22" s="3">
        <v>0.36</v>
      </c>
      <c r="F22" s="4"/>
      <c r="G22" s="4"/>
      <c r="H22" s="4"/>
      <c r="I22" s="4"/>
      <c r="J22" s="4"/>
      <c r="K22" s="4"/>
      <c r="L22" s="3">
        <v>0.18</v>
      </c>
      <c r="M22" s="7">
        <f t="shared" si="1"/>
        <v>0</v>
      </c>
      <c r="N22" s="7">
        <f t="shared" si="2"/>
        <v>6.9</v>
      </c>
      <c r="O22" s="7">
        <f t="shared" si="3"/>
        <v>5.4</v>
      </c>
      <c r="P22" s="7">
        <f t="shared" si="4"/>
        <v>0</v>
      </c>
      <c r="Q22" s="7">
        <f t="shared" si="5"/>
        <v>0</v>
      </c>
      <c r="R22" s="7">
        <f t="shared" si="6"/>
        <v>0</v>
      </c>
      <c r="S22" s="7">
        <f t="shared" si="7"/>
        <v>0</v>
      </c>
      <c r="T22" s="7">
        <f t="shared" si="8"/>
        <v>0</v>
      </c>
      <c r="U22" s="7">
        <f t="shared" si="9"/>
        <v>0</v>
      </c>
      <c r="V22" s="7">
        <f t="shared" si="10"/>
        <v>2.7</v>
      </c>
    </row>
    <row r="23">
      <c r="A23" s="1" t="s">
        <v>71</v>
      </c>
      <c r="B23" s="1">
        <v>25.0</v>
      </c>
      <c r="C23" s="4"/>
      <c r="D23" s="3">
        <v>0.71</v>
      </c>
      <c r="E23" s="3">
        <v>0.11</v>
      </c>
      <c r="F23" s="3">
        <v>0.12</v>
      </c>
      <c r="G23" s="4"/>
      <c r="H23" s="4"/>
      <c r="I23" s="4"/>
      <c r="J23" s="4"/>
      <c r="K23" s="4"/>
      <c r="L23" s="3">
        <v>0.06</v>
      </c>
      <c r="M23" s="7">
        <f t="shared" si="1"/>
        <v>0</v>
      </c>
      <c r="N23" s="7">
        <f t="shared" si="2"/>
        <v>17.75</v>
      </c>
      <c r="O23" s="7">
        <f t="shared" si="3"/>
        <v>2.75</v>
      </c>
      <c r="P23" s="7">
        <f t="shared" si="4"/>
        <v>3</v>
      </c>
      <c r="Q23" s="7">
        <f t="shared" si="5"/>
        <v>0</v>
      </c>
      <c r="R23" s="7">
        <f t="shared" si="6"/>
        <v>0</v>
      </c>
      <c r="S23" s="7">
        <f t="shared" si="7"/>
        <v>0</v>
      </c>
      <c r="T23" s="7">
        <f t="shared" si="8"/>
        <v>0</v>
      </c>
      <c r="U23" s="7">
        <f t="shared" si="9"/>
        <v>0</v>
      </c>
      <c r="V23" s="7">
        <f t="shared" si="10"/>
        <v>1.5</v>
      </c>
    </row>
    <row r="24">
      <c r="A24" s="1" t="s">
        <v>75</v>
      </c>
      <c r="B24" s="1">
        <v>7.0</v>
      </c>
      <c r="C24" s="4"/>
      <c r="D24" s="3">
        <v>0.38</v>
      </c>
      <c r="E24" s="3">
        <v>0.26</v>
      </c>
      <c r="F24" s="3">
        <v>0.28</v>
      </c>
      <c r="G24" s="4"/>
      <c r="H24" s="4"/>
      <c r="I24" s="4"/>
      <c r="J24" s="4"/>
      <c r="K24" s="4"/>
      <c r="L24" s="3">
        <v>0.08</v>
      </c>
      <c r="M24" s="7">
        <f t="shared" si="1"/>
        <v>0</v>
      </c>
      <c r="N24" s="7">
        <f t="shared" si="2"/>
        <v>2.66</v>
      </c>
      <c r="O24" s="7">
        <f t="shared" si="3"/>
        <v>1.82</v>
      </c>
      <c r="P24" s="7">
        <f t="shared" si="4"/>
        <v>1.96</v>
      </c>
      <c r="Q24" s="7">
        <f t="shared" si="5"/>
        <v>0</v>
      </c>
      <c r="R24" s="7">
        <f t="shared" si="6"/>
        <v>0</v>
      </c>
      <c r="S24" s="7">
        <f t="shared" si="7"/>
        <v>0</v>
      </c>
      <c r="T24" s="7">
        <f t="shared" si="8"/>
        <v>0</v>
      </c>
      <c r="U24" s="7">
        <f t="shared" si="9"/>
        <v>0</v>
      </c>
      <c r="V24" s="7">
        <f t="shared" si="10"/>
        <v>0.56</v>
      </c>
    </row>
    <row r="25">
      <c r="A25" s="1" t="s">
        <v>81</v>
      </c>
      <c r="B25" s="1">
        <v>5.0</v>
      </c>
      <c r="C25" s="3">
        <v>0.45</v>
      </c>
      <c r="D25" s="3">
        <v>0.09</v>
      </c>
      <c r="E25" s="3">
        <v>0.33</v>
      </c>
      <c r="F25" s="4"/>
      <c r="G25" s="4"/>
      <c r="H25" s="4"/>
      <c r="I25" s="4"/>
      <c r="J25" s="4"/>
      <c r="K25" s="4"/>
      <c r="L25" s="3">
        <v>0.13</v>
      </c>
      <c r="M25" s="7">
        <f t="shared" si="1"/>
        <v>2.25</v>
      </c>
      <c r="N25" s="7">
        <f t="shared" si="2"/>
        <v>0.45</v>
      </c>
      <c r="O25" s="7">
        <f t="shared" si="3"/>
        <v>1.65</v>
      </c>
      <c r="P25" s="7">
        <f t="shared" si="4"/>
        <v>0</v>
      </c>
      <c r="Q25" s="7">
        <f t="shared" si="5"/>
        <v>0</v>
      </c>
      <c r="R25" s="7">
        <f t="shared" si="6"/>
        <v>0</v>
      </c>
      <c r="S25" s="7">
        <f t="shared" si="7"/>
        <v>0</v>
      </c>
      <c r="T25" s="7">
        <f t="shared" si="8"/>
        <v>0</v>
      </c>
      <c r="U25" s="7">
        <f t="shared" si="9"/>
        <v>0</v>
      </c>
      <c r="V25" s="7">
        <f t="shared" si="10"/>
        <v>0.65</v>
      </c>
    </row>
    <row r="26">
      <c r="A26" s="1" t="s">
        <v>86</v>
      </c>
      <c r="B26" s="1">
        <v>9.0</v>
      </c>
      <c r="C26" s="3">
        <v>0.2</v>
      </c>
      <c r="D26" s="3">
        <v>0.33</v>
      </c>
      <c r="E26" s="4"/>
      <c r="F26" s="3">
        <v>0.26</v>
      </c>
      <c r="G26" s="4"/>
      <c r="H26" s="4"/>
      <c r="I26" s="4"/>
      <c r="J26" s="4"/>
      <c r="K26" s="4"/>
      <c r="L26" s="3">
        <v>0.21</v>
      </c>
      <c r="M26" s="7">
        <f t="shared" si="1"/>
        <v>1.8</v>
      </c>
      <c r="N26" s="7">
        <f t="shared" si="2"/>
        <v>2.97</v>
      </c>
      <c r="O26" s="7">
        <f t="shared" si="3"/>
        <v>0</v>
      </c>
      <c r="P26" s="7">
        <f t="shared" si="4"/>
        <v>2.34</v>
      </c>
      <c r="Q26" s="7">
        <f t="shared" si="5"/>
        <v>0</v>
      </c>
      <c r="R26" s="7">
        <f t="shared" si="6"/>
        <v>0</v>
      </c>
      <c r="S26" s="7">
        <f t="shared" si="7"/>
        <v>0</v>
      </c>
      <c r="T26" s="7">
        <f t="shared" si="8"/>
        <v>0</v>
      </c>
      <c r="U26" s="7">
        <f t="shared" si="9"/>
        <v>0</v>
      </c>
      <c r="V26" s="7">
        <f t="shared" si="10"/>
        <v>1.89</v>
      </c>
    </row>
    <row r="27">
      <c r="A27" s="1" t="s">
        <v>88</v>
      </c>
      <c r="B27" s="1">
        <v>4.0</v>
      </c>
      <c r="C27" s="4"/>
      <c r="D27" s="3">
        <v>0.14</v>
      </c>
      <c r="E27" s="3">
        <v>0.14</v>
      </c>
      <c r="F27" s="3">
        <v>0.56</v>
      </c>
      <c r="G27" s="4"/>
      <c r="H27" s="4"/>
      <c r="I27" s="4"/>
      <c r="J27" s="4"/>
      <c r="K27" s="4"/>
      <c r="L27" s="3">
        <v>0.16</v>
      </c>
      <c r="M27" s="7">
        <f t="shared" si="1"/>
        <v>0</v>
      </c>
      <c r="N27" s="7">
        <f t="shared" si="2"/>
        <v>0.56</v>
      </c>
      <c r="O27" s="7">
        <f t="shared" si="3"/>
        <v>0.56</v>
      </c>
      <c r="P27" s="7">
        <f t="shared" si="4"/>
        <v>2.24</v>
      </c>
      <c r="Q27" s="7">
        <f t="shared" si="5"/>
        <v>0</v>
      </c>
      <c r="R27" s="7">
        <f t="shared" si="6"/>
        <v>0</v>
      </c>
      <c r="S27" s="7">
        <f t="shared" si="7"/>
        <v>0</v>
      </c>
      <c r="T27" s="7">
        <f t="shared" si="8"/>
        <v>0</v>
      </c>
      <c r="U27" s="7">
        <f t="shared" si="9"/>
        <v>0</v>
      </c>
      <c r="V27" s="7">
        <f t="shared" si="10"/>
        <v>0.64</v>
      </c>
    </row>
    <row r="28">
      <c r="A28" s="1" t="s">
        <v>90</v>
      </c>
      <c r="B28" s="1">
        <v>6.0</v>
      </c>
      <c r="C28" s="4"/>
      <c r="D28" s="3">
        <v>0.1</v>
      </c>
      <c r="E28" s="4"/>
      <c r="F28" s="3">
        <v>0.53</v>
      </c>
      <c r="G28" s="4"/>
      <c r="H28" s="4"/>
      <c r="I28" s="4"/>
      <c r="J28" s="3">
        <v>0.25</v>
      </c>
      <c r="K28" s="3"/>
      <c r="L28" s="3">
        <v>0.12</v>
      </c>
      <c r="M28" s="7">
        <f t="shared" si="1"/>
        <v>0</v>
      </c>
      <c r="N28" s="7">
        <f t="shared" si="2"/>
        <v>0.6</v>
      </c>
      <c r="O28" s="7">
        <f t="shared" si="3"/>
        <v>0</v>
      </c>
      <c r="P28" s="7">
        <f t="shared" si="4"/>
        <v>3.18</v>
      </c>
      <c r="Q28" s="7">
        <f t="shared" si="5"/>
        <v>0</v>
      </c>
      <c r="R28" s="7">
        <f t="shared" si="6"/>
        <v>0</v>
      </c>
      <c r="S28" s="7">
        <f t="shared" si="7"/>
        <v>0</v>
      </c>
      <c r="T28" s="7">
        <f t="shared" si="8"/>
        <v>1.5</v>
      </c>
      <c r="U28" s="7">
        <f t="shared" si="9"/>
        <v>0</v>
      </c>
      <c r="V28" s="7">
        <f t="shared" si="10"/>
        <v>0.72</v>
      </c>
    </row>
    <row r="29">
      <c r="A29" s="1" t="s">
        <v>91</v>
      </c>
      <c r="B29" s="1">
        <v>25.0</v>
      </c>
      <c r="C29" s="4"/>
      <c r="D29" s="3">
        <v>0.39</v>
      </c>
      <c r="E29" s="3">
        <v>0.34</v>
      </c>
      <c r="F29" s="4"/>
      <c r="G29" s="4"/>
      <c r="H29" s="4"/>
      <c r="I29" s="3">
        <v>0.09</v>
      </c>
      <c r="J29" s="4"/>
      <c r="K29" s="4"/>
      <c r="L29" s="3">
        <v>0.18</v>
      </c>
      <c r="M29" s="7">
        <f t="shared" si="1"/>
        <v>0</v>
      </c>
      <c r="N29" s="7">
        <f t="shared" si="2"/>
        <v>9.75</v>
      </c>
      <c r="O29" s="7">
        <f t="shared" si="3"/>
        <v>8.5</v>
      </c>
      <c r="P29" s="7">
        <f t="shared" si="4"/>
        <v>0</v>
      </c>
      <c r="Q29" s="7">
        <f t="shared" si="5"/>
        <v>0</v>
      </c>
      <c r="R29" s="7">
        <f t="shared" si="6"/>
        <v>0</v>
      </c>
      <c r="S29" s="7">
        <f t="shared" si="7"/>
        <v>2.25</v>
      </c>
      <c r="T29" s="7">
        <f t="shared" si="8"/>
        <v>0</v>
      </c>
      <c r="U29" s="7">
        <f t="shared" si="9"/>
        <v>0</v>
      </c>
      <c r="V29" s="7">
        <f t="shared" si="10"/>
        <v>4.5</v>
      </c>
    </row>
    <row r="30">
      <c r="A30" s="1" t="s">
        <v>92</v>
      </c>
      <c r="B30" s="1">
        <v>2.0</v>
      </c>
      <c r="C30" s="4"/>
      <c r="D30" s="3">
        <v>0.61</v>
      </c>
      <c r="E30" s="3">
        <v>0.3</v>
      </c>
      <c r="F30" s="4"/>
      <c r="G30" s="4"/>
      <c r="H30" s="4"/>
      <c r="I30" s="4"/>
      <c r="J30" s="4"/>
      <c r="K30" s="4"/>
      <c r="L30" s="3">
        <v>0.09</v>
      </c>
      <c r="M30" s="7">
        <f t="shared" si="1"/>
        <v>0</v>
      </c>
      <c r="N30" s="7">
        <f t="shared" si="2"/>
        <v>1.22</v>
      </c>
      <c r="O30" s="7">
        <f t="shared" si="3"/>
        <v>0.6</v>
      </c>
      <c r="P30" s="7">
        <f t="shared" si="4"/>
        <v>0</v>
      </c>
      <c r="Q30" s="7">
        <f t="shared" si="5"/>
        <v>0</v>
      </c>
      <c r="R30" s="7">
        <f t="shared" si="6"/>
        <v>0</v>
      </c>
      <c r="S30" s="7">
        <f t="shared" si="7"/>
        <v>0</v>
      </c>
      <c r="T30" s="7">
        <f t="shared" si="8"/>
        <v>0</v>
      </c>
      <c r="U30" s="7">
        <f t="shared" si="9"/>
        <v>0</v>
      </c>
      <c r="V30" s="7">
        <f t="shared" si="10"/>
        <v>0.18</v>
      </c>
    </row>
    <row r="31">
      <c r="A31" s="1" t="s">
        <v>93</v>
      </c>
      <c r="B31" s="1">
        <v>17.0</v>
      </c>
      <c r="C31" s="4"/>
      <c r="D31" s="3">
        <v>0.69</v>
      </c>
      <c r="E31" s="3">
        <v>0.22</v>
      </c>
      <c r="F31" s="4"/>
      <c r="G31" s="4"/>
      <c r="H31" s="4"/>
      <c r="I31" s="4"/>
      <c r="J31" s="4"/>
      <c r="K31" s="4"/>
      <c r="L31" s="3">
        <v>0.09</v>
      </c>
      <c r="M31" s="7">
        <f t="shared" si="1"/>
        <v>0</v>
      </c>
      <c r="N31" s="7">
        <f t="shared" si="2"/>
        <v>11.73</v>
      </c>
      <c r="O31" s="7">
        <f t="shared" si="3"/>
        <v>3.74</v>
      </c>
      <c r="P31" s="7">
        <f t="shared" si="4"/>
        <v>0</v>
      </c>
      <c r="Q31" s="7">
        <f t="shared" si="5"/>
        <v>0</v>
      </c>
      <c r="R31" s="7">
        <f t="shared" si="6"/>
        <v>0</v>
      </c>
      <c r="S31" s="7">
        <f t="shared" si="7"/>
        <v>0</v>
      </c>
      <c r="T31" s="7">
        <f t="shared" si="8"/>
        <v>0</v>
      </c>
      <c r="U31" s="7">
        <f t="shared" si="9"/>
        <v>0</v>
      </c>
      <c r="V31" s="7">
        <f t="shared" si="10"/>
        <v>1.53</v>
      </c>
    </row>
    <row r="32">
      <c r="A32" s="1" t="s">
        <v>95</v>
      </c>
      <c r="B32" s="1">
        <v>10.0</v>
      </c>
      <c r="C32" s="4"/>
      <c r="D32" s="4"/>
      <c r="E32" s="3">
        <v>0.37</v>
      </c>
      <c r="F32" s="3">
        <v>0.46</v>
      </c>
      <c r="G32" s="4"/>
      <c r="H32" s="4"/>
      <c r="I32" s="4"/>
      <c r="J32" s="4"/>
      <c r="K32" s="4"/>
      <c r="L32" s="3">
        <v>0.17</v>
      </c>
      <c r="M32" s="7">
        <f t="shared" si="1"/>
        <v>0</v>
      </c>
      <c r="N32" s="7">
        <f t="shared" si="2"/>
        <v>0</v>
      </c>
      <c r="O32" s="7">
        <f t="shared" si="3"/>
        <v>3.7</v>
      </c>
      <c r="P32" s="7">
        <f t="shared" si="4"/>
        <v>4.6</v>
      </c>
      <c r="Q32" s="7">
        <f t="shared" si="5"/>
        <v>0</v>
      </c>
      <c r="R32" s="7">
        <f t="shared" si="6"/>
        <v>0</v>
      </c>
      <c r="S32" s="7">
        <f t="shared" si="7"/>
        <v>0</v>
      </c>
      <c r="T32" s="7">
        <f t="shared" si="8"/>
        <v>0</v>
      </c>
      <c r="U32" s="7">
        <f t="shared" si="9"/>
        <v>0</v>
      </c>
      <c r="V32" s="7">
        <f t="shared" si="10"/>
        <v>1.7</v>
      </c>
    </row>
    <row r="33">
      <c r="A33" s="1" t="s">
        <v>96</v>
      </c>
      <c r="B33" s="1">
        <v>30.0</v>
      </c>
      <c r="C33" s="4"/>
      <c r="D33" s="3">
        <v>0.49</v>
      </c>
      <c r="E33" s="3">
        <v>0.29</v>
      </c>
      <c r="F33" s="3">
        <v>0.11</v>
      </c>
      <c r="G33" s="4"/>
      <c r="H33" s="4"/>
      <c r="I33" s="4"/>
      <c r="J33" s="4"/>
      <c r="K33" s="4"/>
      <c r="L33" s="3">
        <v>0.11</v>
      </c>
      <c r="M33" s="7">
        <f t="shared" si="1"/>
        <v>0</v>
      </c>
      <c r="N33" s="7">
        <f t="shared" si="2"/>
        <v>14.7</v>
      </c>
      <c r="O33" s="7">
        <f t="shared" si="3"/>
        <v>8.7</v>
      </c>
      <c r="P33" s="7">
        <f t="shared" si="4"/>
        <v>3.3</v>
      </c>
      <c r="Q33" s="7">
        <f t="shared" si="5"/>
        <v>0</v>
      </c>
      <c r="R33" s="7">
        <f t="shared" si="6"/>
        <v>0</v>
      </c>
      <c r="S33" s="7">
        <f t="shared" si="7"/>
        <v>0</v>
      </c>
      <c r="T33" s="7">
        <f t="shared" si="8"/>
        <v>0</v>
      </c>
      <c r="U33" s="7">
        <f t="shared" si="9"/>
        <v>0</v>
      </c>
      <c r="V33" s="7">
        <f t="shared" si="10"/>
        <v>3.3</v>
      </c>
    </row>
    <row r="34">
      <c r="A34" s="1" t="s">
        <v>98</v>
      </c>
      <c r="B34" s="1">
        <v>32.0</v>
      </c>
      <c r="C34" s="3">
        <v>0.38</v>
      </c>
      <c r="D34" s="3">
        <v>0.39</v>
      </c>
      <c r="E34" s="3">
        <v>0.2</v>
      </c>
      <c r="F34" s="4"/>
      <c r="G34" s="4"/>
      <c r="H34" s="4"/>
      <c r="I34" s="4"/>
      <c r="J34" s="4"/>
      <c r="K34" s="4"/>
      <c r="L34" s="3">
        <v>0.03</v>
      </c>
      <c r="M34" s="7">
        <f t="shared" si="1"/>
        <v>12.16</v>
      </c>
      <c r="N34" s="7">
        <f t="shared" si="2"/>
        <v>12.48</v>
      </c>
      <c r="O34" s="7">
        <f t="shared" si="3"/>
        <v>6.4</v>
      </c>
      <c r="P34" s="7">
        <f t="shared" si="4"/>
        <v>0</v>
      </c>
      <c r="Q34" s="7">
        <f t="shared" si="5"/>
        <v>0</v>
      </c>
      <c r="R34" s="7">
        <f t="shared" si="6"/>
        <v>0</v>
      </c>
      <c r="S34" s="7">
        <f t="shared" si="7"/>
        <v>0</v>
      </c>
      <c r="T34" s="7">
        <f t="shared" si="8"/>
        <v>0</v>
      </c>
      <c r="U34" s="7">
        <f t="shared" si="9"/>
        <v>0</v>
      </c>
      <c r="V34" s="7">
        <f t="shared" si="10"/>
        <v>0.96</v>
      </c>
    </row>
    <row r="35">
      <c r="A35" s="1" t="s">
        <v>100</v>
      </c>
      <c r="B35" s="1">
        <v>2.0</v>
      </c>
      <c r="C35" s="4"/>
      <c r="D35" s="3">
        <v>0.05</v>
      </c>
      <c r="E35" s="4"/>
      <c r="F35" s="3">
        <v>0.9</v>
      </c>
      <c r="G35" s="4"/>
      <c r="H35" s="4"/>
      <c r="I35" s="4"/>
      <c r="J35" s="4"/>
      <c r="K35" s="4"/>
      <c r="L35" s="3">
        <v>0.05</v>
      </c>
      <c r="M35" s="7">
        <f t="shared" si="1"/>
        <v>0</v>
      </c>
      <c r="N35" s="7">
        <f t="shared" si="2"/>
        <v>0.1</v>
      </c>
      <c r="O35" s="7">
        <f t="shared" si="3"/>
        <v>0</v>
      </c>
      <c r="P35" s="7">
        <f t="shared" si="4"/>
        <v>1.8</v>
      </c>
      <c r="Q35" s="7">
        <f t="shared" si="5"/>
        <v>0</v>
      </c>
      <c r="R35" s="7">
        <f t="shared" si="6"/>
        <v>0</v>
      </c>
      <c r="S35" s="7">
        <f t="shared" si="7"/>
        <v>0</v>
      </c>
      <c r="T35" s="7">
        <f t="shared" si="8"/>
        <v>0</v>
      </c>
      <c r="U35" s="7">
        <f t="shared" si="9"/>
        <v>0</v>
      </c>
      <c r="V35" s="7">
        <f t="shared" si="10"/>
        <v>0.1</v>
      </c>
    </row>
    <row r="36">
      <c r="A36" s="1" t="s">
        <v>101</v>
      </c>
      <c r="B36" s="1">
        <v>24.0</v>
      </c>
      <c r="C36" s="4"/>
      <c r="D36" s="3">
        <v>0.55</v>
      </c>
      <c r="E36" s="3">
        <v>0.31</v>
      </c>
      <c r="F36" s="4"/>
      <c r="G36" s="4"/>
      <c r="H36" s="4"/>
      <c r="I36" s="4"/>
      <c r="J36" s="4"/>
      <c r="K36" s="4"/>
      <c r="L36" s="3">
        <v>0.14</v>
      </c>
      <c r="M36" s="7">
        <f t="shared" si="1"/>
        <v>0</v>
      </c>
      <c r="N36" s="7">
        <f t="shared" si="2"/>
        <v>13.2</v>
      </c>
      <c r="O36" s="7">
        <f t="shared" si="3"/>
        <v>7.44</v>
      </c>
      <c r="P36" s="7">
        <f t="shared" si="4"/>
        <v>0</v>
      </c>
      <c r="Q36" s="7">
        <f t="shared" si="5"/>
        <v>0</v>
      </c>
      <c r="R36" s="7">
        <f t="shared" si="6"/>
        <v>0</v>
      </c>
      <c r="S36" s="7">
        <f t="shared" si="7"/>
        <v>0</v>
      </c>
      <c r="T36" s="7">
        <f t="shared" si="8"/>
        <v>0</v>
      </c>
      <c r="U36" s="7">
        <f t="shared" si="9"/>
        <v>0</v>
      </c>
      <c r="V36" s="7">
        <f t="shared" si="10"/>
        <v>3.36</v>
      </c>
    </row>
    <row r="37">
      <c r="A37" s="1" t="s">
        <v>103</v>
      </c>
      <c r="B37" s="1">
        <v>17.0</v>
      </c>
      <c r="C37" s="4"/>
      <c r="D37" s="3">
        <v>0.25</v>
      </c>
      <c r="E37" s="4"/>
      <c r="F37" s="3">
        <v>0.58</v>
      </c>
      <c r="G37" s="4"/>
      <c r="H37" s="4"/>
      <c r="I37" s="4"/>
      <c r="J37" s="4"/>
      <c r="K37" s="4"/>
      <c r="L37" s="3">
        <v>0.17</v>
      </c>
      <c r="M37" s="7">
        <f t="shared" si="1"/>
        <v>0</v>
      </c>
      <c r="N37" s="7">
        <f t="shared" si="2"/>
        <v>4.25</v>
      </c>
      <c r="O37" s="7">
        <f t="shared" si="3"/>
        <v>0</v>
      </c>
      <c r="P37" s="7">
        <f t="shared" si="4"/>
        <v>9.86</v>
      </c>
      <c r="Q37" s="7">
        <f t="shared" si="5"/>
        <v>0</v>
      </c>
      <c r="R37" s="7">
        <f t="shared" si="6"/>
        <v>0</v>
      </c>
      <c r="S37" s="7">
        <f t="shared" si="7"/>
        <v>0</v>
      </c>
      <c r="T37" s="7">
        <f t="shared" si="8"/>
        <v>0</v>
      </c>
      <c r="U37" s="7">
        <f t="shared" si="9"/>
        <v>0</v>
      </c>
      <c r="V37" s="7">
        <f t="shared" si="10"/>
        <v>2.89</v>
      </c>
    </row>
    <row r="38">
      <c r="A38" s="1" t="s">
        <v>104</v>
      </c>
      <c r="B38" s="1">
        <v>11.0</v>
      </c>
      <c r="C38" s="3">
        <v>0.16</v>
      </c>
      <c r="D38" s="3">
        <v>0.44</v>
      </c>
      <c r="E38" s="3">
        <v>0.28</v>
      </c>
      <c r="F38" s="4"/>
      <c r="G38" s="4"/>
      <c r="H38" s="4"/>
      <c r="I38" s="4"/>
      <c r="J38" s="4"/>
      <c r="K38" s="4"/>
      <c r="L38" s="3">
        <v>0.12</v>
      </c>
      <c r="M38" s="7">
        <f t="shared" si="1"/>
        <v>1.76</v>
      </c>
      <c r="N38" s="7">
        <f t="shared" si="2"/>
        <v>4.84</v>
      </c>
      <c r="O38" s="7">
        <f t="shared" si="3"/>
        <v>3.08</v>
      </c>
      <c r="P38" s="7">
        <f t="shared" si="4"/>
        <v>0</v>
      </c>
      <c r="Q38" s="7">
        <f t="shared" si="5"/>
        <v>0</v>
      </c>
      <c r="R38" s="7">
        <f t="shared" si="6"/>
        <v>0</v>
      </c>
      <c r="S38" s="7">
        <f t="shared" si="7"/>
        <v>0</v>
      </c>
      <c r="T38" s="7">
        <f t="shared" si="8"/>
        <v>0</v>
      </c>
      <c r="U38" s="7">
        <f t="shared" si="9"/>
        <v>0</v>
      </c>
      <c r="V38" s="7">
        <f t="shared" si="10"/>
        <v>1.32</v>
      </c>
    </row>
    <row r="39">
      <c r="A39" s="1" t="s">
        <v>105</v>
      </c>
      <c r="B39" s="1">
        <v>13.0</v>
      </c>
      <c r="C39" s="3">
        <v>0.22</v>
      </c>
      <c r="D39" s="3">
        <v>0.51</v>
      </c>
      <c r="E39" s="3">
        <v>0.25</v>
      </c>
      <c r="F39" s="4"/>
      <c r="G39" s="4"/>
      <c r="H39" s="4"/>
      <c r="I39" s="4"/>
      <c r="J39" s="4"/>
      <c r="K39" s="4"/>
      <c r="L39" s="3">
        <v>0.02</v>
      </c>
      <c r="M39" s="7">
        <f t="shared" si="1"/>
        <v>2.86</v>
      </c>
      <c r="N39" s="7">
        <f t="shared" si="2"/>
        <v>6.63</v>
      </c>
      <c r="O39" s="7">
        <f t="shared" si="3"/>
        <v>3.25</v>
      </c>
      <c r="P39" s="7">
        <f t="shared" si="4"/>
        <v>0</v>
      </c>
      <c r="Q39" s="7">
        <f t="shared" si="5"/>
        <v>0</v>
      </c>
      <c r="R39" s="7">
        <f t="shared" si="6"/>
        <v>0</v>
      </c>
      <c r="S39" s="7">
        <f t="shared" si="7"/>
        <v>0</v>
      </c>
      <c r="T39" s="7">
        <f t="shared" si="8"/>
        <v>0</v>
      </c>
      <c r="U39" s="7">
        <f t="shared" si="9"/>
        <v>0</v>
      </c>
      <c r="V39" s="7">
        <f t="shared" si="10"/>
        <v>0.26</v>
      </c>
    </row>
    <row r="40">
      <c r="A40" s="1" t="s">
        <v>107</v>
      </c>
      <c r="B40" s="1">
        <v>2.0</v>
      </c>
      <c r="C40" s="4"/>
      <c r="D40" s="3">
        <v>0.26</v>
      </c>
      <c r="E40" s="3">
        <v>0.68</v>
      </c>
      <c r="F40" s="4"/>
      <c r="G40" s="4"/>
      <c r="H40" s="4"/>
      <c r="I40" s="4"/>
      <c r="J40" s="4"/>
      <c r="K40" s="4"/>
      <c r="L40" s="3">
        <v>0.06</v>
      </c>
      <c r="M40" s="7">
        <f t="shared" si="1"/>
        <v>0</v>
      </c>
      <c r="N40" s="7">
        <f t="shared" si="2"/>
        <v>0.52</v>
      </c>
      <c r="O40" s="7">
        <f t="shared" si="3"/>
        <v>1.36</v>
      </c>
      <c r="P40" s="7">
        <f t="shared" si="4"/>
        <v>0</v>
      </c>
      <c r="Q40" s="7">
        <f t="shared" si="5"/>
        <v>0</v>
      </c>
      <c r="R40" s="7">
        <f t="shared" si="6"/>
        <v>0</v>
      </c>
      <c r="S40" s="7">
        <f t="shared" si="7"/>
        <v>0</v>
      </c>
      <c r="T40" s="7">
        <f t="shared" si="8"/>
        <v>0</v>
      </c>
      <c r="U40" s="7">
        <f t="shared" si="9"/>
        <v>0</v>
      </c>
      <c r="V40" s="7">
        <f t="shared" si="10"/>
        <v>0.12</v>
      </c>
    </row>
    <row r="41">
      <c r="A41" s="1" t="s">
        <v>108</v>
      </c>
      <c r="B41" s="1">
        <v>14.0</v>
      </c>
      <c r="C41" s="3">
        <v>0.44</v>
      </c>
      <c r="D41" s="3">
        <v>0.34</v>
      </c>
      <c r="E41" s="3">
        <v>0.21</v>
      </c>
      <c r="F41" s="4"/>
      <c r="G41" s="4"/>
      <c r="H41" s="4"/>
      <c r="I41" s="4"/>
      <c r="J41" s="4"/>
      <c r="K41" s="4"/>
      <c r="L41" s="3">
        <v>0.01</v>
      </c>
      <c r="M41" s="7">
        <f t="shared" si="1"/>
        <v>6.16</v>
      </c>
      <c r="N41" s="7">
        <f t="shared" si="2"/>
        <v>4.76</v>
      </c>
      <c r="O41" s="7">
        <f t="shared" si="3"/>
        <v>2.94</v>
      </c>
      <c r="P41" s="7">
        <f t="shared" si="4"/>
        <v>0</v>
      </c>
      <c r="Q41" s="7">
        <f t="shared" si="5"/>
        <v>0</v>
      </c>
      <c r="R41" s="7">
        <f t="shared" si="6"/>
        <v>0</v>
      </c>
      <c r="S41" s="7">
        <f t="shared" si="7"/>
        <v>0</v>
      </c>
      <c r="T41" s="7">
        <f t="shared" si="8"/>
        <v>0</v>
      </c>
      <c r="U41" s="7">
        <f t="shared" si="9"/>
        <v>0</v>
      </c>
      <c r="V41" s="7">
        <f t="shared" si="10"/>
        <v>0.14</v>
      </c>
    </row>
    <row r="42">
      <c r="A42" s="1" t="s">
        <v>110</v>
      </c>
      <c r="B42" s="1">
        <v>5.0</v>
      </c>
      <c r="C42" s="4"/>
      <c r="D42" s="4"/>
      <c r="E42" s="3">
        <v>0.06</v>
      </c>
      <c r="F42" s="3">
        <v>0.77</v>
      </c>
      <c r="G42" s="4"/>
      <c r="H42" s="4"/>
      <c r="I42" s="4"/>
      <c r="J42" s="3">
        <v>0.09</v>
      </c>
      <c r="K42" s="3"/>
      <c r="L42" s="3">
        <v>0.08</v>
      </c>
      <c r="M42" s="7">
        <f t="shared" si="1"/>
        <v>0</v>
      </c>
      <c r="N42" s="7">
        <f t="shared" si="2"/>
        <v>0</v>
      </c>
      <c r="O42" s="7">
        <f t="shared" si="3"/>
        <v>0.3</v>
      </c>
      <c r="P42" s="7">
        <f t="shared" si="4"/>
        <v>3.85</v>
      </c>
      <c r="Q42" s="7">
        <f t="shared" si="5"/>
        <v>0</v>
      </c>
      <c r="R42" s="7">
        <f t="shared" si="6"/>
        <v>0</v>
      </c>
      <c r="S42" s="7">
        <f t="shared" si="7"/>
        <v>0</v>
      </c>
      <c r="T42" s="7">
        <f t="shared" si="8"/>
        <v>0.45</v>
      </c>
      <c r="U42" s="7">
        <f t="shared" si="9"/>
        <v>0</v>
      </c>
      <c r="V42" s="7">
        <f t="shared" si="10"/>
        <v>0.4</v>
      </c>
    </row>
    <row r="43">
      <c r="A43" s="1" t="s">
        <v>111</v>
      </c>
      <c r="B43" s="1">
        <v>28.0</v>
      </c>
      <c r="C43" s="3">
        <v>0.26</v>
      </c>
      <c r="D43" s="3">
        <v>0.67</v>
      </c>
      <c r="E43" s="4"/>
      <c r="F43" s="4"/>
      <c r="G43" s="4"/>
      <c r="H43" s="4"/>
      <c r="I43" s="4"/>
      <c r="J43" s="4"/>
      <c r="K43" s="4"/>
      <c r="L43" s="3">
        <v>0.07</v>
      </c>
      <c r="M43" s="7">
        <f t="shared" si="1"/>
        <v>7.28</v>
      </c>
      <c r="N43" s="7">
        <f t="shared" si="2"/>
        <v>18.76</v>
      </c>
      <c r="O43" s="7">
        <f t="shared" si="3"/>
        <v>0</v>
      </c>
      <c r="P43" s="7">
        <f t="shared" si="4"/>
        <v>0</v>
      </c>
      <c r="Q43" s="7">
        <f t="shared" si="5"/>
        <v>0</v>
      </c>
      <c r="R43" s="7">
        <f t="shared" si="6"/>
        <v>0</v>
      </c>
      <c r="S43" s="7">
        <f t="shared" si="7"/>
        <v>0</v>
      </c>
      <c r="T43" s="7">
        <f t="shared" si="8"/>
        <v>0</v>
      </c>
      <c r="U43" s="7">
        <f t="shared" si="9"/>
        <v>0</v>
      </c>
      <c r="V43" s="7">
        <f t="shared" si="10"/>
        <v>1.96</v>
      </c>
    </row>
    <row r="44">
      <c r="A44" s="1" t="s">
        <v>113</v>
      </c>
      <c r="B44" s="1">
        <v>144.0</v>
      </c>
      <c r="C44" s="4"/>
      <c r="D44" s="3">
        <v>0.14</v>
      </c>
      <c r="E44" s="3">
        <v>0.32</v>
      </c>
      <c r="F44" s="3">
        <v>0.24</v>
      </c>
      <c r="G44" s="4"/>
      <c r="H44" s="4"/>
      <c r="I44" s="4"/>
      <c r="J44" s="4"/>
      <c r="K44" s="4"/>
      <c r="L44" s="3">
        <v>0.3</v>
      </c>
      <c r="M44" s="7">
        <f t="shared" si="1"/>
        <v>0</v>
      </c>
      <c r="N44" s="7">
        <f t="shared" si="2"/>
        <v>20.16</v>
      </c>
      <c r="O44" s="7">
        <f t="shared" si="3"/>
        <v>46.08</v>
      </c>
      <c r="P44" s="7">
        <f t="shared" si="4"/>
        <v>34.56</v>
      </c>
      <c r="Q44" s="7">
        <f t="shared" si="5"/>
        <v>0</v>
      </c>
      <c r="R44" s="7">
        <f t="shared" si="6"/>
        <v>0</v>
      </c>
      <c r="S44" s="7">
        <f t="shared" si="7"/>
        <v>0</v>
      </c>
      <c r="T44" s="7">
        <f t="shared" si="8"/>
        <v>0</v>
      </c>
      <c r="U44" s="7">
        <f t="shared" si="9"/>
        <v>0</v>
      </c>
      <c r="V44" s="7">
        <f t="shared" si="10"/>
        <v>43.2</v>
      </c>
    </row>
    <row r="45">
      <c r="A45" s="1" t="s">
        <v>115</v>
      </c>
      <c r="B45" s="1">
        <v>8.0</v>
      </c>
      <c r="C45" s="4"/>
      <c r="D45" s="3">
        <v>0.36</v>
      </c>
      <c r="E45" s="3">
        <v>0.6</v>
      </c>
      <c r="F45" s="4"/>
      <c r="G45" s="4"/>
      <c r="H45" s="4"/>
      <c r="I45" s="4"/>
      <c r="J45" s="4"/>
      <c r="K45" s="4"/>
      <c r="L45" s="3">
        <v>0.05</v>
      </c>
      <c r="M45" s="7">
        <f t="shared" si="1"/>
        <v>0</v>
      </c>
      <c r="N45" s="7">
        <f t="shared" si="2"/>
        <v>2.88</v>
      </c>
      <c r="O45" s="7">
        <f t="shared" si="3"/>
        <v>4.8</v>
      </c>
      <c r="P45" s="7">
        <f t="shared" si="4"/>
        <v>0</v>
      </c>
      <c r="Q45" s="7">
        <f t="shared" si="5"/>
        <v>0</v>
      </c>
      <c r="R45" s="7">
        <f t="shared" si="6"/>
        <v>0</v>
      </c>
      <c r="S45" s="7">
        <f t="shared" si="7"/>
        <v>0</v>
      </c>
      <c r="T45" s="7">
        <f t="shared" si="8"/>
        <v>0</v>
      </c>
      <c r="U45" s="7">
        <f t="shared" si="9"/>
        <v>0</v>
      </c>
      <c r="V45" s="7">
        <f t="shared" si="10"/>
        <v>0.4</v>
      </c>
    </row>
    <row r="46">
      <c r="A46" s="1" t="s">
        <v>117</v>
      </c>
      <c r="B46" s="1">
        <v>1.0</v>
      </c>
      <c r="C46" s="4"/>
      <c r="D46" s="3">
        <v>0.52</v>
      </c>
      <c r="E46" s="3">
        <v>0.44</v>
      </c>
      <c r="F46" s="4"/>
      <c r="G46" s="4"/>
      <c r="H46" s="4"/>
      <c r="I46" s="4"/>
      <c r="J46" s="4"/>
      <c r="K46" s="4"/>
      <c r="L46" s="3">
        <v>0.05</v>
      </c>
      <c r="M46" s="7">
        <f t="shared" si="1"/>
        <v>0</v>
      </c>
      <c r="N46" s="7">
        <f t="shared" si="2"/>
        <v>0.52</v>
      </c>
      <c r="O46" s="7">
        <f t="shared" si="3"/>
        <v>0.44</v>
      </c>
      <c r="P46" s="7">
        <f t="shared" si="4"/>
        <v>0</v>
      </c>
      <c r="Q46" s="7">
        <f t="shared" si="5"/>
        <v>0</v>
      </c>
      <c r="R46" s="7">
        <f t="shared" si="6"/>
        <v>0</v>
      </c>
      <c r="S46" s="7">
        <f t="shared" si="7"/>
        <v>0</v>
      </c>
      <c r="T46" s="7">
        <f t="shared" si="8"/>
        <v>0</v>
      </c>
      <c r="U46" s="7">
        <f t="shared" si="9"/>
        <v>0</v>
      </c>
      <c r="V46" s="7">
        <f t="shared" si="10"/>
        <v>0.05</v>
      </c>
    </row>
    <row r="47">
      <c r="A47" s="1" t="s">
        <v>119</v>
      </c>
      <c r="B47" s="1">
        <v>21.0</v>
      </c>
      <c r="C47" s="3">
        <v>0.34</v>
      </c>
      <c r="D47" s="3">
        <v>0.3</v>
      </c>
      <c r="E47" s="3">
        <v>0.35</v>
      </c>
      <c r="F47" s="4"/>
      <c r="G47" s="4"/>
      <c r="H47" s="4"/>
      <c r="I47" s="4"/>
      <c r="J47" s="4"/>
      <c r="K47" s="4"/>
      <c r="L47" s="3">
        <v>0.01</v>
      </c>
      <c r="M47" s="7">
        <f t="shared" si="1"/>
        <v>7.14</v>
      </c>
      <c r="N47" s="7">
        <f t="shared" si="2"/>
        <v>6.3</v>
      </c>
      <c r="O47" s="7">
        <f t="shared" si="3"/>
        <v>7.35</v>
      </c>
      <c r="P47" s="7">
        <f t="shared" si="4"/>
        <v>0</v>
      </c>
      <c r="Q47" s="7">
        <f t="shared" si="5"/>
        <v>0</v>
      </c>
      <c r="R47" s="7">
        <f t="shared" si="6"/>
        <v>0</v>
      </c>
      <c r="S47" s="7">
        <f t="shared" si="7"/>
        <v>0</v>
      </c>
      <c r="T47" s="7">
        <f t="shared" si="8"/>
        <v>0</v>
      </c>
      <c r="U47" s="7">
        <f t="shared" si="9"/>
        <v>0</v>
      </c>
      <c r="V47" s="7">
        <f t="shared" si="10"/>
        <v>0.21</v>
      </c>
    </row>
    <row r="48">
      <c r="A48" s="1" t="s">
        <v>121</v>
      </c>
      <c r="B48" s="1">
        <v>15.0</v>
      </c>
      <c r="C48" s="3">
        <v>0.13</v>
      </c>
      <c r="D48" s="3">
        <v>0.69</v>
      </c>
      <c r="E48" s="3">
        <v>0.1</v>
      </c>
      <c r="F48" s="4"/>
      <c r="G48" s="4"/>
      <c r="H48" s="4"/>
      <c r="I48" s="4"/>
      <c r="J48" s="4"/>
      <c r="K48" s="4"/>
      <c r="L48" s="3">
        <v>0.08</v>
      </c>
      <c r="M48" s="7">
        <f t="shared" si="1"/>
        <v>1.95</v>
      </c>
      <c r="N48" s="7">
        <f t="shared" si="2"/>
        <v>10.35</v>
      </c>
      <c r="O48" s="7">
        <f t="shared" si="3"/>
        <v>1.5</v>
      </c>
      <c r="P48" s="7">
        <f t="shared" si="4"/>
        <v>0</v>
      </c>
      <c r="Q48" s="7">
        <f t="shared" si="5"/>
        <v>0</v>
      </c>
      <c r="R48" s="7">
        <f t="shared" si="6"/>
        <v>0</v>
      </c>
      <c r="S48" s="7">
        <f t="shared" si="7"/>
        <v>0</v>
      </c>
      <c r="T48" s="7">
        <f t="shared" si="8"/>
        <v>0</v>
      </c>
      <c r="U48" s="7">
        <f t="shared" si="9"/>
        <v>0</v>
      </c>
      <c r="V48" s="7">
        <f t="shared" si="10"/>
        <v>1.2</v>
      </c>
    </row>
    <row r="49">
      <c r="A49" s="1" t="s">
        <v>122</v>
      </c>
      <c r="B49" s="1">
        <v>4.0</v>
      </c>
      <c r="C49" s="3">
        <v>0.28</v>
      </c>
      <c r="D49" s="3">
        <v>0.2</v>
      </c>
      <c r="E49" s="4"/>
      <c r="F49" s="4"/>
      <c r="G49" s="4"/>
      <c r="H49" s="4"/>
      <c r="I49" s="4"/>
      <c r="J49" s="4"/>
      <c r="K49" s="3">
        <v>0.29</v>
      </c>
      <c r="L49" s="3">
        <v>0.23</v>
      </c>
      <c r="M49" s="7">
        <f t="shared" si="1"/>
        <v>1.12</v>
      </c>
      <c r="N49" s="7">
        <f t="shared" si="2"/>
        <v>0.8</v>
      </c>
      <c r="O49" s="7">
        <f t="shared" si="3"/>
        <v>0</v>
      </c>
      <c r="P49" s="7">
        <f t="shared" si="4"/>
        <v>0</v>
      </c>
      <c r="Q49" s="7">
        <f t="shared" si="5"/>
        <v>0</v>
      </c>
      <c r="R49" s="7">
        <f t="shared" si="6"/>
        <v>0</v>
      </c>
      <c r="S49" s="7">
        <f t="shared" si="7"/>
        <v>0</v>
      </c>
      <c r="T49" s="7">
        <f t="shared" si="8"/>
        <v>0</v>
      </c>
      <c r="U49" s="7">
        <f t="shared" si="9"/>
        <v>1.16</v>
      </c>
      <c r="V49" s="7">
        <f t="shared" si="10"/>
        <v>0.92</v>
      </c>
    </row>
    <row r="50">
      <c r="A50" s="1" t="s">
        <v>123</v>
      </c>
      <c r="B50" s="1">
        <v>6.0</v>
      </c>
      <c r="C50" s="4"/>
      <c r="D50" s="3">
        <v>0.31</v>
      </c>
      <c r="E50" s="3">
        <v>0.62</v>
      </c>
      <c r="F50" s="4"/>
      <c r="G50" s="4"/>
      <c r="H50" s="4"/>
      <c r="I50" s="4"/>
      <c r="J50" s="4"/>
      <c r="K50" s="4"/>
      <c r="L50" s="3">
        <v>0.08</v>
      </c>
      <c r="M50" s="7">
        <f t="shared" si="1"/>
        <v>0</v>
      </c>
      <c r="N50" s="7">
        <f t="shared" si="2"/>
        <v>1.86</v>
      </c>
      <c r="O50" s="7">
        <f t="shared" si="3"/>
        <v>3.72</v>
      </c>
      <c r="P50" s="7">
        <f t="shared" si="4"/>
        <v>0</v>
      </c>
      <c r="Q50" s="7">
        <f t="shared" si="5"/>
        <v>0</v>
      </c>
      <c r="R50" s="7">
        <f t="shared" si="6"/>
        <v>0</v>
      </c>
      <c r="S50" s="7">
        <f t="shared" si="7"/>
        <v>0</v>
      </c>
      <c r="T50" s="7">
        <f t="shared" si="8"/>
        <v>0</v>
      </c>
      <c r="U50" s="7">
        <f t="shared" si="9"/>
        <v>0</v>
      </c>
      <c r="V50" s="7">
        <f t="shared" si="10"/>
        <v>0.48</v>
      </c>
    </row>
    <row r="51">
      <c r="A51" s="1" t="s">
        <v>124</v>
      </c>
      <c r="B51" s="1">
        <v>6.0</v>
      </c>
      <c r="C51" s="4"/>
      <c r="D51" s="4"/>
      <c r="E51" s="4"/>
      <c r="F51" s="3">
        <v>0.88</v>
      </c>
      <c r="G51" s="4"/>
      <c r="H51" s="4"/>
      <c r="I51" s="4"/>
      <c r="J51" s="4"/>
      <c r="K51" s="4"/>
      <c r="L51" s="3">
        <v>0.12</v>
      </c>
      <c r="M51" s="7">
        <f t="shared" si="1"/>
        <v>0</v>
      </c>
      <c r="N51" s="7">
        <f t="shared" si="2"/>
        <v>0</v>
      </c>
      <c r="O51" s="7">
        <f t="shared" si="3"/>
        <v>0</v>
      </c>
      <c r="P51" s="7">
        <f t="shared" si="4"/>
        <v>5.28</v>
      </c>
      <c r="Q51" s="7">
        <f t="shared" si="5"/>
        <v>0</v>
      </c>
      <c r="R51" s="7">
        <f t="shared" si="6"/>
        <v>0</v>
      </c>
      <c r="S51" s="7">
        <f t="shared" si="7"/>
        <v>0</v>
      </c>
      <c r="T51" s="7">
        <f t="shared" si="8"/>
        <v>0</v>
      </c>
      <c r="U51" s="7">
        <f t="shared" si="9"/>
        <v>0</v>
      </c>
      <c r="V51" s="7">
        <f t="shared" si="10"/>
        <v>0.72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1.38"/>
    <col customWidth="1" min="3" max="3" width="67.38"/>
  </cols>
  <sheetData>
    <row r="1">
      <c r="A1" s="1" t="s">
        <v>48</v>
      </c>
      <c r="B1" s="1" t="s">
        <v>52</v>
      </c>
      <c r="C1" s="1" t="s">
        <v>54</v>
      </c>
    </row>
    <row r="2">
      <c r="A2" s="1" t="s">
        <v>55</v>
      </c>
      <c r="B2" s="6" t="s">
        <v>57</v>
      </c>
      <c r="C2" s="1" t="s">
        <v>65</v>
      </c>
    </row>
    <row r="3">
      <c r="A3" s="1" t="s">
        <v>67</v>
      </c>
      <c r="B3" s="6" t="s">
        <v>69</v>
      </c>
      <c r="C3" s="1" t="s">
        <v>70</v>
      </c>
    </row>
    <row r="4">
      <c r="A4" s="1" t="s">
        <v>72</v>
      </c>
      <c r="B4" s="1" t="s">
        <v>73</v>
      </c>
      <c r="C4" s="1" t="s">
        <v>74</v>
      </c>
    </row>
    <row r="5">
      <c r="A5" s="1" t="s">
        <v>76</v>
      </c>
      <c r="B5" s="6" t="s">
        <v>78</v>
      </c>
      <c r="C5" s="1" t="s">
        <v>79</v>
      </c>
    </row>
    <row r="6">
      <c r="A6" s="1" t="s">
        <v>80</v>
      </c>
      <c r="B6" s="6" t="s">
        <v>82</v>
      </c>
      <c r="C6" s="1" t="s">
        <v>83</v>
      </c>
    </row>
    <row r="7">
      <c r="A7" s="1" t="s">
        <v>84</v>
      </c>
      <c r="B7" s="6" t="s">
        <v>85</v>
      </c>
      <c r="C7" s="1" t="s">
        <v>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4.88"/>
    <col customWidth="1" min="3" max="3" width="18.13"/>
  </cols>
  <sheetData>
    <row r="1">
      <c r="A1" s="9" t="s">
        <v>125</v>
      </c>
      <c r="B1" s="10"/>
    </row>
    <row r="2">
      <c r="A2" s="11" t="s">
        <v>0</v>
      </c>
      <c r="B2" s="12" t="s">
        <v>126</v>
      </c>
    </row>
    <row r="3">
      <c r="A3" s="13" t="s">
        <v>14</v>
      </c>
      <c r="B3" s="14">
        <v>13047.0</v>
      </c>
    </row>
    <row r="4">
      <c r="A4" s="13" t="s">
        <v>21</v>
      </c>
      <c r="B4" s="14">
        <v>2697.0</v>
      </c>
    </row>
    <row r="5">
      <c r="A5" s="13" t="s">
        <v>25</v>
      </c>
      <c r="B5" s="14">
        <v>89798.0</v>
      </c>
    </row>
    <row r="6">
      <c r="A6" s="13" t="s">
        <v>29</v>
      </c>
      <c r="B6" s="14">
        <v>7108.0</v>
      </c>
    </row>
    <row r="7">
      <c r="A7" s="13" t="s">
        <v>32</v>
      </c>
      <c r="B7" s="14">
        <v>1256646.0</v>
      </c>
    </row>
    <row r="8">
      <c r="A8" s="13" t="s">
        <v>34</v>
      </c>
      <c r="B8" s="14">
        <v>90083.0</v>
      </c>
    </row>
    <row r="9">
      <c r="A9" s="13" t="s">
        <v>36</v>
      </c>
      <c r="B9" s="14">
        <v>31557.0</v>
      </c>
    </row>
    <row r="10">
      <c r="A10" s="13" t="s">
        <v>38</v>
      </c>
      <c r="B10" s="14">
        <v>8435.0</v>
      </c>
    </row>
    <row r="11">
      <c r="A11" s="13" t="s">
        <v>40</v>
      </c>
      <c r="B11" s="14">
        <v>254878.0</v>
      </c>
    </row>
    <row r="12">
      <c r="A12" s="13" t="s">
        <v>42</v>
      </c>
      <c r="B12" s="14">
        <v>92368.0</v>
      </c>
    </row>
    <row r="13">
      <c r="A13" s="13" t="s">
        <v>44</v>
      </c>
      <c r="B13" s="14">
        <v>25565.0</v>
      </c>
    </row>
    <row r="14">
      <c r="A14" s="13" t="s">
        <v>45</v>
      </c>
      <c r="B14" s="14">
        <v>8501.0</v>
      </c>
    </row>
    <row r="15">
      <c r="A15" s="13" t="s">
        <v>46</v>
      </c>
      <c r="B15" s="14">
        <v>99573.0</v>
      </c>
    </row>
    <row r="16">
      <c r="A16" s="13" t="s">
        <v>50</v>
      </c>
      <c r="B16" s="14">
        <v>26101.0</v>
      </c>
    </row>
    <row r="17">
      <c r="A17" s="13" t="s">
        <v>53</v>
      </c>
      <c r="B17" s="14">
        <v>9031.0</v>
      </c>
    </row>
    <row r="18">
      <c r="A18" s="13" t="s">
        <v>56</v>
      </c>
      <c r="B18" s="14">
        <v>11271.0</v>
      </c>
    </row>
    <row r="19">
      <c r="A19" s="13" t="s">
        <v>58</v>
      </c>
      <c r="B19" s="14">
        <v>11617.0</v>
      </c>
    </row>
    <row r="20">
      <c r="A20" s="13" t="s">
        <v>60</v>
      </c>
      <c r="B20" s="14">
        <v>8150.0</v>
      </c>
    </row>
    <row r="21">
      <c r="A21" s="13" t="s">
        <v>62</v>
      </c>
      <c r="B21" s="14">
        <v>7377.0</v>
      </c>
    </row>
    <row r="22">
      <c r="A22" s="13" t="s">
        <v>64</v>
      </c>
      <c r="B22" s="14">
        <v>72139.0</v>
      </c>
    </row>
    <row r="23">
      <c r="A23" s="13" t="s">
        <v>68</v>
      </c>
      <c r="B23" s="14">
        <v>73768.0</v>
      </c>
    </row>
    <row r="24">
      <c r="A24" s="13" t="s">
        <v>71</v>
      </c>
      <c r="B24" s="14">
        <v>50284.0</v>
      </c>
    </row>
    <row r="25">
      <c r="A25" s="13" t="s">
        <v>75</v>
      </c>
      <c r="B25" s="14">
        <v>37050.0</v>
      </c>
    </row>
    <row r="26">
      <c r="A26" s="13" t="s">
        <v>81</v>
      </c>
      <c r="B26" s="14">
        <v>3590.0</v>
      </c>
    </row>
    <row r="27">
      <c r="A27" s="13" t="s">
        <v>86</v>
      </c>
      <c r="B27" s="14">
        <v>26861.0</v>
      </c>
    </row>
    <row r="28">
      <c r="A28" s="13" t="s">
        <v>88</v>
      </c>
      <c r="B28" s="14">
        <v>4608.0</v>
      </c>
    </row>
    <row r="29">
      <c r="A29" s="13" t="s">
        <v>90</v>
      </c>
      <c r="B29" s="14">
        <v>6920.0</v>
      </c>
    </row>
    <row r="30">
      <c r="A30" s="13" t="s">
        <v>91</v>
      </c>
      <c r="B30" s="14">
        <v>47361.0</v>
      </c>
    </row>
    <row r="31">
      <c r="A31" s="13" t="s">
        <v>92</v>
      </c>
      <c r="B31" s="14">
        <v>9861.0</v>
      </c>
    </row>
    <row r="32">
      <c r="A32" s="13" t="s">
        <v>93</v>
      </c>
      <c r="B32" s="14">
        <v>134753.0</v>
      </c>
    </row>
    <row r="33">
      <c r="A33" s="13" t="s">
        <v>95</v>
      </c>
      <c r="B33" s="14">
        <v>10276.0</v>
      </c>
    </row>
    <row r="34">
      <c r="A34" s="13" t="s">
        <v>96</v>
      </c>
      <c r="B34" s="14">
        <v>131250.0</v>
      </c>
    </row>
    <row r="35">
      <c r="A35" s="13" t="s">
        <v>98</v>
      </c>
      <c r="B35" s="14">
        <v>70164.0</v>
      </c>
    </row>
    <row r="36">
      <c r="A36" s="13" t="s">
        <v>100</v>
      </c>
      <c r="B36" s="15">
        <v>959.0</v>
      </c>
    </row>
    <row r="37">
      <c r="A37" s="13" t="s">
        <v>101</v>
      </c>
      <c r="B37" s="14">
        <v>50393.0</v>
      </c>
    </row>
    <row r="38">
      <c r="A38" s="13" t="s">
        <v>103</v>
      </c>
      <c r="B38" s="14">
        <v>22843.0</v>
      </c>
    </row>
    <row r="39">
      <c r="A39" s="13" t="s">
        <v>104</v>
      </c>
      <c r="B39" s="14">
        <v>64361.0</v>
      </c>
    </row>
    <row r="40">
      <c r="A40" s="13" t="s">
        <v>105</v>
      </c>
      <c r="B40" s="14">
        <v>70154.0</v>
      </c>
    </row>
    <row r="41">
      <c r="A41" s="13" t="s">
        <v>107</v>
      </c>
      <c r="B41" s="14">
        <v>6396.0</v>
      </c>
    </row>
    <row r="42">
      <c r="A42" s="13" t="s">
        <v>108</v>
      </c>
      <c r="B42" s="14">
        <v>20873.0</v>
      </c>
    </row>
    <row r="43">
      <c r="A43" s="13" t="s">
        <v>110</v>
      </c>
      <c r="B43" s="14">
        <v>1675.0</v>
      </c>
    </row>
    <row r="44">
      <c r="A44" s="13" t="s">
        <v>111</v>
      </c>
      <c r="B44" s="14">
        <v>33221.0</v>
      </c>
    </row>
    <row r="45">
      <c r="A45" s="13" t="s">
        <v>113</v>
      </c>
      <c r="B45" s="14">
        <v>230125.0</v>
      </c>
    </row>
    <row r="46">
      <c r="A46" s="13" t="s">
        <v>115</v>
      </c>
      <c r="B46" s="14">
        <v>39998.0</v>
      </c>
    </row>
    <row r="47">
      <c r="A47" s="13" t="s">
        <v>117</v>
      </c>
      <c r="B47" s="14">
        <v>7816.0</v>
      </c>
    </row>
    <row r="48">
      <c r="A48" s="13" t="s">
        <v>119</v>
      </c>
      <c r="B48" s="14">
        <v>84936.0</v>
      </c>
    </row>
    <row r="49">
      <c r="A49" s="13" t="s">
        <v>121</v>
      </c>
      <c r="B49" s="14">
        <v>152101.0</v>
      </c>
    </row>
    <row r="50">
      <c r="A50" s="13" t="s">
        <v>122</v>
      </c>
      <c r="B50" s="14">
        <v>2758.0</v>
      </c>
    </row>
    <row r="51">
      <c r="A51" s="13" t="s">
        <v>123</v>
      </c>
      <c r="B51" s="14">
        <v>24943.0</v>
      </c>
    </row>
    <row r="52">
      <c r="A52" s="13" t="s">
        <v>124</v>
      </c>
      <c r="B52" s="14">
        <v>1139.0</v>
      </c>
    </row>
    <row r="53">
      <c r="A53" s="11" t="s">
        <v>127</v>
      </c>
      <c r="B53" s="16">
        <v>3555445.0</v>
      </c>
    </row>
  </sheetData>
  <mergeCells count="1">
    <mergeCell ref="A1:B1"/>
  </mergeCells>
  <drawing r:id="rId1"/>
</worksheet>
</file>